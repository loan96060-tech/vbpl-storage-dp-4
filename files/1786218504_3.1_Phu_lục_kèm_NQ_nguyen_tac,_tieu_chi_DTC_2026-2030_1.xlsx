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ULIEU CHI THAO\NHU THAO\KY HOP\NK 2021-2026\KH7_2025\Du thao NQ_Sau tham tra\Du thao NQ_A.Hien\"/>
    </mc:Choice>
  </mc:AlternateContent>
  <bookViews>
    <workbookView xWindow="0" yWindow="0" windowWidth="15525" windowHeight="7050"/>
  </bookViews>
  <sheets>
    <sheet name="Sheet1" sheetId="1" r:id="rId1"/>
  </sheets>
  <definedNames>
    <definedName name="_xlnm.Print_Titles" localSheetId="0">Sheet1!$5:$8</definedName>
  </definedNames>
  <calcPr calcId="162913"/>
</workbook>
</file>

<file path=xl/calcChain.xml><?xml version="1.0" encoding="utf-8"?>
<calcChain xmlns="http://schemas.openxmlformats.org/spreadsheetml/2006/main">
  <c r="C10" i="1" l="1"/>
  <c r="C9" i="1"/>
  <c r="G10" i="1"/>
  <c r="G11" i="1" l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I10" i="1" l="1"/>
  <c r="E9" i="1"/>
  <c r="F9" i="1"/>
  <c r="H9" i="1"/>
  <c r="J9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" i="1"/>
  <c r="K9" i="1" s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C11" i="1"/>
  <c r="C15" i="1"/>
  <c r="C17" i="1"/>
  <c r="C23" i="1"/>
  <c r="C25" i="1"/>
  <c r="C27" i="1"/>
  <c r="C31" i="1"/>
  <c r="C33" i="1"/>
  <c r="C35" i="1"/>
  <c r="C39" i="1"/>
  <c r="C41" i="1"/>
  <c r="C43" i="1"/>
  <c r="C47" i="1"/>
  <c r="C49" i="1"/>
  <c r="C51" i="1"/>
  <c r="C55" i="1"/>
  <c r="C57" i="1"/>
  <c r="C59" i="1"/>
  <c r="C63" i="1"/>
  <c r="C65" i="1"/>
  <c r="C67" i="1"/>
  <c r="C71" i="1"/>
  <c r="C73" i="1"/>
  <c r="C75" i="1"/>
  <c r="C79" i="1"/>
  <c r="C81" i="1"/>
  <c r="C83" i="1"/>
  <c r="C87" i="1"/>
  <c r="C89" i="1"/>
  <c r="C91" i="1"/>
  <c r="C95" i="1"/>
  <c r="C97" i="1"/>
  <c r="C99" i="1"/>
  <c r="C103" i="1"/>
  <c r="C105" i="1"/>
  <c r="I9" i="1" l="1"/>
  <c r="C98" i="1"/>
  <c r="C90" i="1"/>
  <c r="C82" i="1"/>
  <c r="C74" i="1"/>
  <c r="C66" i="1"/>
  <c r="C58" i="1"/>
  <c r="C50" i="1"/>
  <c r="C42" i="1"/>
  <c r="C34" i="1"/>
  <c r="C26" i="1"/>
  <c r="C18" i="1"/>
  <c r="C104" i="1"/>
  <c r="C100" i="1"/>
  <c r="C96" i="1"/>
  <c r="C92" i="1"/>
  <c r="C88" i="1"/>
  <c r="C84" i="1"/>
  <c r="C80" i="1"/>
  <c r="C76" i="1"/>
  <c r="C72" i="1"/>
  <c r="C68" i="1"/>
  <c r="C64" i="1"/>
  <c r="C60" i="1"/>
  <c r="C56" i="1"/>
  <c r="C52" i="1"/>
  <c r="C48" i="1"/>
  <c r="C44" i="1"/>
  <c r="C40" i="1"/>
  <c r="C36" i="1"/>
  <c r="C32" i="1"/>
  <c r="C28" i="1"/>
  <c r="C24" i="1"/>
  <c r="C20" i="1"/>
  <c r="C16" i="1"/>
  <c r="C12" i="1"/>
  <c r="C19" i="1"/>
  <c r="G9" i="1"/>
  <c r="C94" i="1"/>
  <c r="C62" i="1"/>
  <c r="C38" i="1"/>
  <c r="C14" i="1"/>
  <c r="C101" i="1"/>
  <c r="C93" i="1"/>
  <c r="C85" i="1"/>
  <c r="C77" i="1"/>
  <c r="C69" i="1"/>
  <c r="C61" i="1"/>
  <c r="C53" i="1"/>
  <c r="C45" i="1"/>
  <c r="C37" i="1"/>
  <c r="C29" i="1"/>
  <c r="C21" i="1"/>
  <c r="C13" i="1"/>
  <c r="C102" i="1"/>
  <c r="C78" i="1"/>
  <c r="C54" i="1"/>
  <c r="C22" i="1"/>
  <c r="C86" i="1"/>
  <c r="C70" i="1"/>
  <c r="C46" i="1"/>
  <c r="C30" i="1"/>
  <c r="D21" i="1" l="1"/>
  <c r="D9" i="1" l="1"/>
  <c r="D76" i="1"/>
  <c r="D12" i="1"/>
  <c r="D27" i="1"/>
  <c r="D50" i="1"/>
  <c r="D89" i="1"/>
  <c r="D25" i="1"/>
  <c r="D64" i="1"/>
  <c r="D67" i="1"/>
  <c r="D71" i="1"/>
  <c r="D51" i="1"/>
  <c r="D79" i="1"/>
  <c r="D68" i="1"/>
  <c r="D75" i="1"/>
  <c r="D10" i="1"/>
  <c r="D42" i="1"/>
  <c r="D81" i="1"/>
  <c r="D17" i="1"/>
  <c r="D56" i="1"/>
  <c r="D97" i="1"/>
  <c r="D63" i="1"/>
  <c r="D72" i="1"/>
  <c r="D60" i="1"/>
  <c r="D35" i="1"/>
  <c r="D98" i="1"/>
  <c r="D34" i="1"/>
  <c r="D73" i="1"/>
  <c r="D99" i="1"/>
  <c r="D48" i="1"/>
  <c r="D96" i="1"/>
  <c r="D55" i="1"/>
  <c r="D58" i="1"/>
  <c r="D52" i="1"/>
  <c r="D19" i="1"/>
  <c r="D90" i="1"/>
  <c r="D26" i="1"/>
  <c r="D65" i="1"/>
  <c r="D59" i="1"/>
  <c r="D40" i="1"/>
  <c r="D80" i="1"/>
  <c r="D47" i="1"/>
  <c r="D33" i="1"/>
  <c r="D15" i="1"/>
  <c r="D44" i="1"/>
  <c r="D11" i="1"/>
  <c r="D82" i="1"/>
  <c r="D18" i="1"/>
  <c r="D57" i="1"/>
  <c r="D105" i="1"/>
  <c r="D32" i="1"/>
  <c r="D103" i="1"/>
  <c r="D39" i="1"/>
  <c r="D20" i="1"/>
  <c r="D36" i="1"/>
  <c r="D92" i="1"/>
  <c r="D74" i="1"/>
  <c r="D100" i="1"/>
  <c r="D49" i="1"/>
  <c r="D104" i="1"/>
  <c r="D24" i="1"/>
  <c r="D95" i="1"/>
  <c r="D31" i="1"/>
  <c r="D84" i="1"/>
  <c r="D28" i="1"/>
  <c r="D83" i="1"/>
  <c r="D66" i="1"/>
  <c r="D91" i="1"/>
  <c r="D41" i="1"/>
  <c r="D88" i="1"/>
  <c r="D16" i="1"/>
  <c r="D87" i="1"/>
  <c r="D23" i="1"/>
  <c r="D43" i="1"/>
  <c r="D101" i="1"/>
  <c r="D53" i="1"/>
  <c r="D22" i="1"/>
  <c r="D62" i="1"/>
  <c r="D102" i="1"/>
  <c r="D37" i="1"/>
  <c r="D54" i="1"/>
  <c r="D29" i="1"/>
  <c r="D93" i="1"/>
  <c r="D61" i="1"/>
  <c r="D85" i="1"/>
  <c r="D69" i="1"/>
  <c r="D38" i="1"/>
  <c r="D30" i="1"/>
  <c r="D77" i="1"/>
  <c r="D86" i="1"/>
  <c r="D46" i="1"/>
  <c r="D70" i="1"/>
  <c r="D14" i="1"/>
  <c r="D94" i="1"/>
  <c r="D78" i="1"/>
  <c r="D45" i="1"/>
  <c r="D13" i="1"/>
</calcChain>
</file>

<file path=xl/sharedStrings.xml><?xml version="1.0" encoding="utf-8"?>
<sst xmlns="http://schemas.openxmlformats.org/spreadsheetml/2006/main" count="116" uniqueCount="115">
  <si>
    <t>TT</t>
  </si>
  <si>
    <t>Tên xã, phường</t>
  </si>
  <si>
    <t>Tổng cộng</t>
  </si>
  <si>
    <t>TỔNG CỘNG</t>
  </si>
  <si>
    <t>Xã Mỹ Quý</t>
  </si>
  <si>
    <t>Xã Đông Thành</t>
  </si>
  <si>
    <t>Xã Bình Thành</t>
  </si>
  <si>
    <t>Xã Bình Hòa</t>
  </si>
  <si>
    <t>Xã Bình Hiệp</t>
  </si>
  <si>
    <t>Xã Tuyên Bình</t>
  </si>
  <si>
    <t>Xã Khánh Hưng</t>
  </si>
  <si>
    <t>Xã Hưng Điền</t>
  </si>
  <si>
    <t>Xã Bến Cầu</t>
  </si>
  <si>
    <t>Xã Long Thuận</t>
  </si>
  <si>
    <t>Xã Long Chữ</t>
  </si>
  <si>
    <t>Xã Phước Chỉ</t>
  </si>
  <si>
    <t>Xã Ninh Điền</t>
  </si>
  <si>
    <t>Xã Hòa Hội</t>
  </si>
  <si>
    <t>Xã Phước Vinh</t>
  </si>
  <si>
    <t>Xã Tân Biên</t>
  </si>
  <si>
    <t>Xã Tân Lập</t>
  </si>
  <si>
    <t>Xã Tân Hòa</t>
  </si>
  <si>
    <t>Xã Tân Đông</t>
  </si>
  <si>
    <t>Phường Long An</t>
  </si>
  <si>
    <t>Phường Kiến Tường</t>
  </si>
  <si>
    <t>Xã Vĩnh Hưng</t>
  </si>
  <si>
    <t>Xã Tân Hưng</t>
  </si>
  <si>
    <t>Xã Tân Trụ</t>
  </si>
  <si>
    <t>Xã Tầm Vu</t>
  </si>
  <si>
    <t>Xã Bến Lức</t>
  </si>
  <si>
    <t>Xã Thủ Thừa</t>
  </si>
  <si>
    <t>Xã Hậu Nghĩa</t>
  </si>
  <si>
    <t>Xã Cần Giuộc</t>
  </si>
  <si>
    <t>Xã Cần Đước</t>
  </si>
  <si>
    <t>Xã Tân Thạnh</t>
  </si>
  <si>
    <t>Xã Thạnh Hóa</t>
  </si>
  <si>
    <t>Xã Mộc Hóa</t>
  </si>
  <si>
    <t>Phường Tân Ninh</t>
  </si>
  <si>
    <t>Phường Long Hoa</t>
  </si>
  <si>
    <t>Phường Gò Dầu</t>
  </si>
  <si>
    <t>Phường Trảng Bàng</t>
  </si>
  <si>
    <t>Xã Dương Minh Châu</t>
  </si>
  <si>
    <t>Xã Tân Châu</t>
  </si>
  <si>
    <t>Xã Châu Thành</t>
  </si>
  <si>
    <t>Phường Tân An</t>
  </si>
  <si>
    <t>Phường Khánh Hậu</t>
  </si>
  <si>
    <t>Phường Ninh Thạnh</t>
  </si>
  <si>
    <t>Phường Bình Minh</t>
  </si>
  <si>
    <t>Phường An Tịnh</t>
  </si>
  <si>
    <t>Phường Thanh Điền</t>
  </si>
  <si>
    <t>Phường Gia Lộc</t>
  </si>
  <si>
    <t>Xã Đức Hòa</t>
  </si>
  <si>
    <t>Xã Đức Huệ</t>
  </si>
  <si>
    <t>Xã Thuận Mỹ</t>
  </si>
  <si>
    <t>Xã An Lục Long</t>
  </si>
  <si>
    <t>Xã Vĩnh Công</t>
  </si>
  <si>
    <t>Xã Vàm Cỏ</t>
  </si>
  <si>
    <t>Phường Hòa Thành</t>
  </si>
  <si>
    <t>Xã Nhựt Tảo</t>
  </si>
  <si>
    <t>Xã Mỹ Yên</t>
  </si>
  <si>
    <t>Xã Bình Đức</t>
  </si>
  <si>
    <t>Xã Lương Hòa</t>
  </si>
  <si>
    <t>Xã Thạnh Lợi</t>
  </si>
  <si>
    <t>Xã Mỹ An</t>
  </si>
  <si>
    <t>Xã Mỹ Thạnh</t>
  </si>
  <si>
    <t>Xã Tân Long</t>
  </si>
  <si>
    <t>Xã An Ninh</t>
  </si>
  <si>
    <t>Xã Hiệp Hòa</t>
  </si>
  <si>
    <t>Xã Hòa Khánh</t>
  </si>
  <si>
    <t>Xã Đức Lập</t>
  </si>
  <si>
    <t>Xã Mỹ Hạnh</t>
  </si>
  <si>
    <t>Xã Phước Lý</t>
  </si>
  <si>
    <t>Xã Mỹ Lộc</t>
  </si>
  <si>
    <t>Xã Phước Vĩnh Tây</t>
  </si>
  <si>
    <t>Xã Tân Tập</t>
  </si>
  <si>
    <t>Xã Long Cang</t>
  </si>
  <si>
    <t>Xã Rạch Kiến</t>
  </si>
  <si>
    <t>Xã Mỹ Lệ</t>
  </si>
  <si>
    <t>Xã Tân Lân</t>
  </si>
  <si>
    <t>Xã Long Hựu</t>
  </si>
  <si>
    <t>Xã Hậu Thạnh</t>
  </si>
  <si>
    <t>Xã Nhơn Hòa Lập</t>
  </si>
  <si>
    <t>Xã Nhơn Ninh</t>
  </si>
  <si>
    <t>Xã Tân Tây</t>
  </si>
  <si>
    <t>Xã Thạnh Phước</t>
  </si>
  <si>
    <t>Xã Tuyên Thạnh</t>
  </si>
  <si>
    <t>Xã Vĩnh Châu</t>
  </si>
  <si>
    <t>Xã Vĩnh Thạnh</t>
  </si>
  <si>
    <t>Xã Phước Thạnh</t>
  </si>
  <si>
    <t>Xã Thạnh Đức</t>
  </si>
  <si>
    <t>Xã Hưng Thuận</t>
  </si>
  <si>
    <t>Xã Hảo Đước</t>
  </si>
  <si>
    <t>Xã Trà Vong</t>
  </si>
  <si>
    <t>Xã Thạnh Bình</t>
  </si>
  <si>
    <t>Xã Tân Thành</t>
  </si>
  <si>
    <t>Xã Tân Hội</t>
  </si>
  <si>
    <t>Xã Tân Phú</t>
  </si>
  <si>
    <t>Xã Cầu Khởi</t>
  </si>
  <si>
    <t>Xã Lộc Ninh</t>
  </si>
  <si>
    <t>Xã Truông Mít</t>
  </si>
  <si>
    <t>Vị trí xã (Biên giới; trung tâm; còn lại</t>
  </si>
  <si>
    <t>Số điểm</t>
  </si>
  <si>
    <t>số điểm</t>
  </si>
  <si>
    <t>Số dân (người)</t>
  </si>
  <si>
    <t>Diện tích (km2)</t>
  </si>
  <si>
    <t>3=5+7+9+11</t>
  </si>
  <si>
    <t>Số thu (triệu đồng)</t>
  </si>
  <si>
    <t>Phụ lục</t>
  </si>
  <si>
    <t>Ghi chú</t>
  </si>
  <si>
    <t xml:space="preserve"> Tỷ trọng của từng xã trong tổng điểm (%)</t>
  </si>
  <si>
    <t xml:space="preserve">Tiêu chí dân số </t>
  </si>
  <si>
    <t>Tiêu chí diện tích</t>
  </si>
  <si>
    <t xml:space="preserve">Tiêu chí thu ngân sách </t>
  </si>
  <si>
    <t>BẢNG TÍNH ĐIỂM CÁC TIÊU CHÍ TRÊN ĐỊA BÀN TỈNH TÂY NINH</t>
  </si>
  <si>
    <t>(Ban hành kèm theo Nghị quyết số 21/2025/NQ-HĐND ngày 09 tháng 12 năm 2025 của Hội đồng nhân dân tỉnh Tây Ninh)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</si>
</sst>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4"/>
      <color indexed="64"/>
      <name val="Times New Roman"/>
      <family val="1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b/>
      <sz val="13"/>
      <name val="Calibri"/>
      <family val="2"/>
      <scheme val="minor"/>
    </font>
    <font>
      <sz val="13"/>
      <name val="Times New Roman"/>
      <family val="1"/>
    </font>
    <font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FF0000"/>
      <name val="Times New Roman"/>
      <family val="1"/>
    </font>
    <font>
      <b/>
      <i/>
      <sz val="12"/>
      <name val="Times New Roman"/>
      <family val="1"/>
    </font>
    <font>
      <b/>
      <i/>
      <sz val="12"/>
      <color theme="1"/>
      <name val="Times New Roman"/>
      <family val="1"/>
    </font>
    <font>
      <i/>
      <sz val="13"/>
      <name val="Times New Roman"/>
      <family val="1"/>
    </font>
    <font>
      <b/>
      <sz val="14"/>
      <name val="Times New Roman"/>
      <family val="1"/>
    </font>
    <font>
      <b/>
      <sz val="14"/>
      <color rgb="FFFF0000"/>
      <name val="Times New Roman"/>
      <family val="1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9" fontId="3" fillId="0" borderId="0" applyFont="0" applyFill="0" applyBorder="0" applyAlignment="0" applyProtection="0"/>
  </cellStyleXfs>
  <cellXfs count="44">
    <xf numFmtId="0" fontId="0" fillId="0" borderId="0" xfId="0"/>
    <xf numFmtId="3" fontId="6" fillId="0" borderId="0" xfId="0" applyNumberFormat="1" applyFont="1"/>
    <xf numFmtId="164" fontId="6" fillId="0" borderId="0" xfId="0" applyNumberFormat="1" applyFont="1"/>
    <xf numFmtId="4" fontId="6" fillId="0" borderId="0" xfId="0" applyNumberFormat="1" applyFont="1"/>
    <xf numFmtId="3" fontId="7" fillId="0" borderId="0" xfId="0" applyNumberFormat="1" applyFont="1" applyAlignment="1">
      <alignment wrapText="1"/>
    </xf>
    <xf numFmtId="3" fontId="4" fillId="0" borderId="0" xfId="0" applyNumberFormat="1" applyFont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vertical="center"/>
    </xf>
    <xf numFmtId="4" fontId="6" fillId="0" borderId="1" xfId="0" applyNumberFormat="1" applyFont="1" applyBorder="1" applyAlignment="1">
      <alignment vertical="center"/>
    </xf>
    <xf numFmtId="3" fontId="6" fillId="0" borderId="0" xfId="0" applyNumberFormat="1" applyFont="1" applyAlignment="1">
      <alignment vertical="center"/>
    </xf>
    <xf numFmtId="3" fontId="6" fillId="0" borderId="1" xfId="1" applyNumberFormat="1" applyFont="1" applyBorder="1" applyAlignment="1">
      <alignment horizontal="center" vertical="center" wrapText="1"/>
    </xf>
    <xf numFmtId="4" fontId="9" fillId="0" borderId="0" xfId="0" applyNumberFormat="1" applyFont="1" applyAlignment="1">
      <alignment vertical="center"/>
    </xf>
    <xf numFmtId="4" fontId="6" fillId="0" borderId="0" xfId="0" applyNumberFormat="1" applyFont="1" applyAlignment="1">
      <alignment vertical="center"/>
    </xf>
    <xf numFmtId="4" fontId="4" fillId="0" borderId="1" xfId="0" applyNumberFormat="1" applyFont="1" applyBorder="1" applyAlignment="1">
      <alignment vertical="center"/>
    </xf>
    <xf numFmtId="9" fontId="4" fillId="0" borderId="1" xfId="3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10" fontId="6" fillId="0" borderId="1" xfId="3" applyNumberFormat="1" applyFont="1" applyBorder="1" applyAlignment="1">
      <alignment vertical="center"/>
    </xf>
    <xf numFmtId="3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/>
    </xf>
    <xf numFmtId="3" fontId="6" fillId="0" borderId="1" xfId="0" applyNumberFormat="1" applyFont="1" applyFill="1" applyBorder="1" applyAlignment="1">
      <alignment vertical="center"/>
    </xf>
    <xf numFmtId="3" fontId="6" fillId="0" borderId="1" xfId="0" applyNumberFormat="1" applyFont="1" applyBorder="1"/>
    <xf numFmtId="3" fontId="4" fillId="0" borderId="1" xfId="0" applyNumberFormat="1" applyFont="1" applyFill="1" applyBorder="1" applyAlignment="1">
      <alignment vertical="center"/>
    </xf>
    <xf numFmtId="3" fontId="10" fillId="0" borderId="1" xfId="0" applyNumberFormat="1" applyFont="1" applyBorder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/>
    </xf>
    <xf numFmtId="3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3" fontId="14" fillId="0" borderId="0" xfId="0" applyNumberFormat="1" applyFont="1" applyAlignment="1">
      <alignment horizontal="center" vertical="center" wrapText="1"/>
    </xf>
    <xf numFmtId="3" fontId="15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wrapText="1"/>
    </xf>
    <xf numFmtId="3" fontId="4" fillId="0" borderId="2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 wrapText="1"/>
    </xf>
  </cellXfs>
  <cellStyles count="4">
    <cellStyle name="Normal" xfId="0" builtinId="0"/>
    <cellStyle name="Normal 11" xfId="1"/>
    <cellStyle name="Normal 5" xfId="2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tabSelected="1" zoomScale="91" zoomScaleNormal="91" workbookViewId="0">
      <selection activeCell="D5" sqref="D5:D7"/>
    </sheetView>
  </sheetViews>
  <sheetFormatPr defaultColWidth="8.7109375" defaultRowHeight="16.5" x14ac:dyDescent="0.25"/>
  <cols>
    <col min="1" max="1" width="7" style="1" customWidth="1"/>
    <col min="2" max="2" width="22.7109375" style="1" customWidth="1"/>
    <col min="3" max="3" width="14.7109375" style="15" customWidth="1"/>
    <col min="4" max="4" width="12.5703125" style="15" customWidth="1"/>
    <col min="5" max="5" width="13.7109375" style="1" customWidth="1"/>
    <col min="6" max="6" width="13" style="1" customWidth="1"/>
    <col min="7" max="7" width="11.42578125" style="2" customWidth="1"/>
    <col min="8" max="8" width="11.5703125" style="3" customWidth="1"/>
    <col min="9" max="9" width="10.5703125" style="3" customWidth="1"/>
    <col min="10" max="10" width="15.28515625" style="1" customWidth="1"/>
    <col min="11" max="11" width="12.42578125" style="3" customWidth="1"/>
    <col min="12" max="12" width="10.28515625" style="1" customWidth="1"/>
    <col min="13" max="16384" width="8.7109375" style="1"/>
  </cols>
  <sheetData>
    <row r="1" spans="1:12" ht="18.75" customHeight="1" x14ac:dyDescent="0.25">
      <c r="A1" s="29" t="s">
        <v>107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s="4" customFormat="1" ht="21.75" customHeight="1" x14ac:dyDescent="0.3">
      <c r="A2" s="37" t="s">
        <v>113</v>
      </c>
      <c r="B2" s="38"/>
      <c r="C2" s="38"/>
      <c r="D2" s="38"/>
      <c r="E2" s="39"/>
      <c r="F2" s="39"/>
      <c r="G2" s="39"/>
      <c r="H2" s="39"/>
      <c r="I2" s="39"/>
      <c r="J2" s="39"/>
      <c r="K2" s="39"/>
      <c r="L2" s="39"/>
    </row>
    <row r="3" spans="1:12" s="4" customFormat="1" ht="25.5" customHeight="1" x14ac:dyDescent="0.3">
      <c r="A3" s="43" t="s">
        <v>114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ht="14.25" customHeight="1" x14ac:dyDescent="0.25"/>
    <row r="5" spans="1:12" s="5" customFormat="1" x14ac:dyDescent="0.25">
      <c r="A5" s="32" t="s">
        <v>0</v>
      </c>
      <c r="B5" s="32" t="s">
        <v>1</v>
      </c>
      <c r="C5" s="34" t="s">
        <v>2</v>
      </c>
      <c r="D5" s="34" t="s">
        <v>109</v>
      </c>
      <c r="E5" s="32" t="s">
        <v>100</v>
      </c>
      <c r="F5" s="32" t="s">
        <v>110</v>
      </c>
      <c r="G5" s="36"/>
      <c r="H5" s="32" t="s">
        <v>111</v>
      </c>
      <c r="I5" s="36"/>
      <c r="J5" s="32" t="s">
        <v>112</v>
      </c>
      <c r="K5" s="36"/>
      <c r="L5" s="40" t="s">
        <v>108</v>
      </c>
    </row>
    <row r="6" spans="1:12" s="5" customFormat="1" ht="9.75" customHeight="1" x14ac:dyDescent="0.25">
      <c r="A6" s="33"/>
      <c r="B6" s="33"/>
      <c r="C6" s="35"/>
      <c r="D6" s="35"/>
      <c r="E6" s="33"/>
      <c r="F6" s="36"/>
      <c r="G6" s="36"/>
      <c r="H6" s="36"/>
      <c r="I6" s="36"/>
      <c r="J6" s="36"/>
      <c r="K6" s="36"/>
      <c r="L6" s="41"/>
    </row>
    <row r="7" spans="1:12" s="5" customFormat="1" ht="56.25" customHeight="1" x14ac:dyDescent="0.25">
      <c r="A7" s="33"/>
      <c r="B7" s="33"/>
      <c r="C7" s="35"/>
      <c r="D7" s="35"/>
      <c r="E7" s="33"/>
      <c r="F7" s="20" t="s">
        <v>103</v>
      </c>
      <c r="G7" s="6" t="s">
        <v>101</v>
      </c>
      <c r="H7" s="21" t="s">
        <v>104</v>
      </c>
      <c r="I7" s="21" t="s">
        <v>101</v>
      </c>
      <c r="J7" s="20" t="s">
        <v>106</v>
      </c>
      <c r="K7" s="21" t="s">
        <v>102</v>
      </c>
      <c r="L7" s="42"/>
    </row>
    <row r="8" spans="1:12" s="27" customFormat="1" ht="18" customHeight="1" x14ac:dyDescent="0.25">
      <c r="A8" s="26">
        <v>1</v>
      </c>
      <c r="B8" s="26">
        <v>2</v>
      </c>
      <c r="C8" s="26" t="s">
        <v>105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8">
        <v>12</v>
      </c>
    </row>
    <row r="9" spans="1:12" s="7" customFormat="1" ht="20.25" customHeight="1" x14ac:dyDescent="0.3">
      <c r="A9" s="30" t="s">
        <v>3</v>
      </c>
      <c r="B9" s="31"/>
      <c r="C9" s="16">
        <f>SUM(C10:C105)</f>
        <v>3994.4076000000009</v>
      </c>
      <c r="D9" s="17">
        <f>C9/$C$9</f>
        <v>1</v>
      </c>
      <c r="E9" s="18">
        <f t="shared" ref="E9:K9" si="0">SUM(E10:E105)</f>
        <v>1900</v>
      </c>
      <c r="F9" s="18">
        <f t="shared" si="0"/>
        <v>3262357</v>
      </c>
      <c r="G9" s="16">
        <f>SUM(G10:G105)</f>
        <v>326.23569999999989</v>
      </c>
      <c r="H9" s="16">
        <f t="shared" si="0"/>
        <v>8536.4000000000015</v>
      </c>
      <c r="I9" s="16">
        <f t="shared" si="0"/>
        <v>853.6400000000001</v>
      </c>
      <c r="J9" s="18">
        <f t="shared" si="0"/>
        <v>914531.9</v>
      </c>
      <c r="K9" s="16">
        <f t="shared" si="0"/>
        <v>914.53189999999927</v>
      </c>
      <c r="L9" s="22"/>
    </row>
    <row r="10" spans="1:12" ht="20.25" customHeight="1" x14ac:dyDescent="0.25">
      <c r="A10" s="8">
        <v>1</v>
      </c>
      <c r="B10" s="9" t="s">
        <v>4</v>
      </c>
      <c r="C10" s="11">
        <f>E10+G10+I10+K10</f>
        <v>50.089700000000008</v>
      </c>
      <c r="D10" s="19">
        <f>C10/$C$9</f>
        <v>1.253995711404114E-2</v>
      </c>
      <c r="E10" s="10">
        <v>30</v>
      </c>
      <c r="F10" s="10">
        <v>28537</v>
      </c>
      <c r="G10" s="11">
        <f>F10/10000</f>
        <v>2.8536999999999999</v>
      </c>
      <c r="H10" s="11">
        <v>132.97999999999999</v>
      </c>
      <c r="I10" s="11">
        <f>H10/10</f>
        <v>13.297999999999998</v>
      </c>
      <c r="J10" s="23">
        <v>3938</v>
      </c>
      <c r="K10" s="11">
        <f>J10/1000</f>
        <v>3.9380000000000002</v>
      </c>
      <c r="L10" s="24"/>
    </row>
    <row r="11" spans="1:12" ht="20.25" customHeight="1" x14ac:dyDescent="0.25">
      <c r="A11" s="8">
        <v>2</v>
      </c>
      <c r="B11" s="9" t="s">
        <v>5</v>
      </c>
      <c r="C11" s="11">
        <f t="shared" ref="C11:C74" si="1">E11+G11+I11+K11</f>
        <v>53.783900000000003</v>
      </c>
      <c r="D11" s="19">
        <f t="shared" ref="D11:D74" si="2">C11/$C$9</f>
        <v>1.3464800137071638E-2</v>
      </c>
      <c r="E11" s="10">
        <v>30</v>
      </c>
      <c r="F11" s="10">
        <v>27169</v>
      </c>
      <c r="G11" s="11">
        <f t="shared" ref="G11:G74" si="3">F11/10000</f>
        <v>2.7168999999999999</v>
      </c>
      <c r="H11" s="11">
        <v>130.94</v>
      </c>
      <c r="I11" s="11">
        <f t="shared" ref="I11:I74" si="4">H11/10</f>
        <v>13.093999999999999</v>
      </c>
      <c r="J11" s="10">
        <v>7973</v>
      </c>
      <c r="K11" s="11">
        <f t="shared" ref="K11:K74" si="5">J11/1000</f>
        <v>7.9729999999999999</v>
      </c>
      <c r="L11" s="24"/>
    </row>
    <row r="12" spans="1:12" ht="20.25" customHeight="1" x14ac:dyDescent="0.25">
      <c r="A12" s="8">
        <v>3</v>
      </c>
      <c r="B12" s="9" t="s">
        <v>6</v>
      </c>
      <c r="C12" s="11">
        <f t="shared" si="1"/>
        <v>46.838000000000001</v>
      </c>
      <c r="D12" s="19">
        <f t="shared" si="2"/>
        <v>1.1725893972362757E-2</v>
      </c>
      <c r="E12" s="10">
        <v>30</v>
      </c>
      <c r="F12" s="10">
        <v>10690</v>
      </c>
      <c r="G12" s="11">
        <f t="shared" si="3"/>
        <v>1.069</v>
      </c>
      <c r="H12" s="11">
        <v>132.41</v>
      </c>
      <c r="I12" s="11">
        <f t="shared" si="4"/>
        <v>13.241</v>
      </c>
      <c r="J12" s="10">
        <v>2528</v>
      </c>
      <c r="K12" s="11">
        <f t="shared" si="5"/>
        <v>2.528</v>
      </c>
      <c r="L12" s="24"/>
    </row>
    <row r="13" spans="1:12" ht="20.25" customHeight="1" x14ac:dyDescent="0.25">
      <c r="A13" s="8">
        <v>4</v>
      </c>
      <c r="B13" s="9" t="s">
        <v>7</v>
      </c>
      <c r="C13" s="11">
        <f t="shared" si="1"/>
        <v>45.328100000000006</v>
      </c>
      <c r="D13" s="19">
        <f t="shared" si="2"/>
        <v>1.1347890485688039E-2</v>
      </c>
      <c r="E13" s="10">
        <v>30</v>
      </c>
      <c r="F13" s="10">
        <v>13581</v>
      </c>
      <c r="G13" s="11">
        <f t="shared" si="3"/>
        <v>1.3581000000000001</v>
      </c>
      <c r="H13" s="11">
        <v>117.85</v>
      </c>
      <c r="I13" s="11">
        <f t="shared" si="4"/>
        <v>11.785</v>
      </c>
      <c r="J13" s="10">
        <v>2185</v>
      </c>
      <c r="K13" s="11">
        <f t="shared" si="5"/>
        <v>2.1850000000000001</v>
      </c>
      <c r="L13" s="24"/>
    </row>
    <row r="14" spans="1:12" ht="20.25" customHeight="1" x14ac:dyDescent="0.25">
      <c r="A14" s="8">
        <v>5</v>
      </c>
      <c r="B14" s="9" t="s">
        <v>8</v>
      </c>
      <c r="C14" s="11">
        <f t="shared" si="1"/>
        <v>50.080000000000005</v>
      </c>
      <c r="D14" s="19">
        <f t="shared" si="2"/>
        <v>1.2537528718901896E-2</v>
      </c>
      <c r="E14" s="10">
        <v>30</v>
      </c>
      <c r="F14" s="10">
        <v>21420</v>
      </c>
      <c r="G14" s="11">
        <f t="shared" si="3"/>
        <v>2.1419999999999999</v>
      </c>
      <c r="H14" s="11">
        <v>123.68</v>
      </c>
      <c r="I14" s="11">
        <f t="shared" si="4"/>
        <v>12.368</v>
      </c>
      <c r="J14" s="10">
        <v>5570</v>
      </c>
      <c r="K14" s="11">
        <f t="shared" si="5"/>
        <v>5.57</v>
      </c>
      <c r="L14" s="24"/>
    </row>
    <row r="15" spans="1:12" ht="20.25" customHeight="1" x14ac:dyDescent="0.25">
      <c r="A15" s="8">
        <v>6</v>
      </c>
      <c r="B15" s="9" t="s">
        <v>9</v>
      </c>
      <c r="C15" s="11">
        <f t="shared" si="1"/>
        <v>49.233800000000002</v>
      </c>
      <c r="D15" s="19">
        <f t="shared" si="2"/>
        <v>1.2325682536754635E-2</v>
      </c>
      <c r="E15" s="10">
        <v>30</v>
      </c>
      <c r="F15" s="10">
        <v>19158</v>
      </c>
      <c r="G15" s="11">
        <f t="shared" si="3"/>
        <v>1.9157999999999999</v>
      </c>
      <c r="H15" s="11">
        <v>137.81</v>
      </c>
      <c r="I15" s="11">
        <f t="shared" si="4"/>
        <v>13.781000000000001</v>
      </c>
      <c r="J15" s="10">
        <v>3537</v>
      </c>
      <c r="K15" s="11">
        <f t="shared" si="5"/>
        <v>3.5369999999999999</v>
      </c>
      <c r="L15" s="24"/>
    </row>
    <row r="16" spans="1:12" ht="20.25" customHeight="1" x14ac:dyDescent="0.25">
      <c r="A16" s="8">
        <v>7</v>
      </c>
      <c r="B16" s="9" t="s">
        <v>10</v>
      </c>
      <c r="C16" s="11">
        <f t="shared" si="1"/>
        <v>49.855699999999999</v>
      </c>
      <c r="D16" s="19">
        <f t="shared" si="2"/>
        <v>1.2481375210682051E-2</v>
      </c>
      <c r="E16" s="10">
        <v>30</v>
      </c>
      <c r="F16" s="10">
        <v>20347</v>
      </c>
      <c r="G16" s="11">
        <f t="shared" si="3"/>
        <v>2.0347</v>
      </c>
      <c r="H16" s="11">
        <v>145.09</v>
      </c>
      <c r="I16" s="11">
        <f t="shared" si="4"/>
        <v>14.509</v>
      </c>
      <c r="J16" s="10">
        <v>3312</v>
      </c>
      <c r="K16" s="11">
        <f t="shared" si="5"/>
        <v>3.3119999999999998</v>
      </c>
      <c r="L16" s="24"/>
    </row>
    <row r="17" spans="1:12" ht="20.25" customHeight="1" x14ac:dyDescent="0.25">
      <c r="A17" s="8">
        <v>8</v>
      </c>
      <c r="B17" s="9" t="s">
        <v>11</v>
      </c>
      <c r="C17" s="11">
        <f t="shared" si="1"/>
        <v>47.631800000000005</v>
      </c>
      <c r="D17" s="19">
        <f t="shared" si="2"/>
        <v>1.1924621813757813E-2</v>
      </c>
      <c r="E17" s="10">
        <v>30</v>
      </c>
      <c r="F17" s="10">
        <v>19308</v>
      </c>
      <c r="G17" s="11">
        <f t="shared" si="3"/>
        <v>1.9308000000000001</v>
      </c>
      <c r="H17" s="11">
        <v>131.16</v>
      </c>
      <c r="I17" s="11">
        <f t="shared" si="4"/>
        <v>13.116</v>
      </c>
      <c r="J17" s="10">
        <v>2585</v>
      </c>
      <c r="K17" s="11">
        <f t="shared" si="5"/>
        <v>2.585</v>
      </c>
      <c r="L17" s="24"/>
    </row>
    <row r="18" spans="1:12" ht="20.25" customHeight="1" x14ac:dyDescent="0.25">
      <c r="A18" s="8">
        <v>9</v>
      </c>
      <c r="B18" s="9" t="s">
        <v>12</v>
      </c>
      <c r="C18" s="11">
        <f t="shared" si="1"/>
        <v>55.1038</v>
      </c>
      <c r="D18" s="19">
        <f t="shared" si="2"/>
        <v>1.3795237121018893E-2</v>
      </c>
      <c r="E18" s="10">
        <v>30</v>
      </c>
      <c r="F18" s="10">
        <v>49228</v>
      </c>
      <c r="G18" s="11">
        <f t="shared" si="3"/>
        <v>4.9227999999999996</v>
      </c>
      <c r="H18" s="11">
        <v>112.02</v>
      </c>
      <c r="I18" s="11">
        <f t="shared" si="4"/>
        <v>11.202</v>
      </c>
      <c r="J18" s="10">
        <v>8979</v>
      </c>
      <c r="K18" s="11">
        <f t="shared" si="5"/>
        <v>8.9789999999999992</v>
      </c>
      <c r="L18" s="24"/>
    </row>
    <row r="19" spans="1:12" ht="20.25" customHeight="1" x14ac:dyDescent="0.25">
      <c r="A19" s="8">
        <v>10</v>
      </c>
      <c r="B19" s="9" t="s">
        <v>13</v>
      </c>
      <c r="C19" s="11">
        <f t="shared" si="1"/>
        <v>42.389800000000001</v>
      </c>
      <c r="D19" s="19">
        <f t="shared" si="2"/>
        <v>1.0612287038508536E-2</v>
      </c>
      <c r="E19" s="10">
        <v>30</v>
      </c>
      <c r="F19" s="10">
        <v>24518</v>
      </c>
      <c r="G19" s="11">
        <f t="shared" si="3"/>
        <v>2.4518</v>
      </c>
      <c r="H19" s="11">
        <v>65.61</v>
      </c>
      <c r="I19" s="11">
        <f t="shared" si="4"/>
        <v>6.5609999999999999</v>
      </c>
      <c r="J19" s="10">
        <v>3377</v>
      </c>
      <c r="K19" s="11">
        <f t="shared" si="5"/>
        <v>3.3769999999999998</v>
      </c>
      <c r="L19" s="24"/>
    </row>
    <row r="20" spans="1:12" ht="20.25" customHeight="1" x14ac:dyDescent="0.25">
      <c r="A20" s="8">
        <v>11</v>
      </c>
      <c r="B20" s="9" t="s">
        <v>14</v>
      </c>
      <c r="C20" s="11">
        <f t="shared" si="1"/>
        <v>42.311599999999999</v>
      </c>
      <c r="D20" s="19">
        <f t="shared" si="2"/>
        <v>1.059270966738597E-2</v>
      </c>
      <c r="E20" s="10">
        <v>30</v>
      </c>
      <c r="F20" s="10">
        <v>17746</v>
      </c>
      <c r="G20" s="11">
        <f t="shared" si="3"/>
        <v>1.7746</v>
      </c>
      <c r="H20" s="11">
        <v>92</v>
      </c>
      <c r="I20" s="11">
        <f t="shared" si="4"/>
        <v>9.1999999999999993</v>
      </c>
      <c r="J20" s="10">
        <v>1337</v>
      </c>
      <c r="K20" s="11">
        <f t="shared" si="5"/>
        <v>1.337</v>
      </c>
      <c r="L20" s="24"/>
    </row>
    <row r="21" spans="1:12" ht="20.25" customHeight="1" x14ac:dyDescent="0.25">
      <c r="A21" s="8">
        <v>12</v>
      </c>
      <c r="B21" s="9" t="s">
        <v>15</v>
      </c>
      <c r="C21" s="11">
        <f t="shared" si="1"/>
        <v>44.592099999999995</v>
      </c>
      <c r="D21" s="19">
        <f t="shared" si="2"/>
        <v>1.1163632875122705E-2</v>
      </c>
      <c r="E21" s="10">
        <v>30</v>
      </c>
      <c r="F21" s="10">
        <v>31461</v>
      </c>
      <c r="G21" s="11">
        <f t="shared" si="3"/>
        <v>3.1461000000000001</v>
      </c>
      <c r="H21" s="11">
        <v>82.84</v>
      </c>
      <c r="I21" s="11">
        <f t="shared" si="4"/>
        <v>8.2840000000000007</v>
      </c>
      <c r="J21" s="10">
        <v>3162</v>
      </c>
      <c r="K21" s="11">
        <f t="shared" si="5"/>
        <v>3.1619999999999999</v>
      </c>
      <c r="L21" s="24"/>
    </row>
    <row r="22" spans="1:12" ht="20.25" customHeight="1" x14ac:dyDescent="0.25">
      <c r="A22" s="8">
        <v>13</v>
      </c>
      <c r="B22" s="9" t="s">
        <v>16</v>
      </c>
      <c r="C22" s="11">
        <f t="shared" si="1"/>
        <v>50.987000000000002</v>
      </c>
      <c r="D22" s="19">
        <f t="shared" si="2"/>
        <v>1.2764596181921942E-2</v>
      </c>
      <c r="E22" s="10">
        <v>30</v>
      </c>
      <c r="F22" s="10">
        <v>23470</v>
      </c>
      <c r="G22" s="11">
        <f t="shared" si="3"/>
        <v>2.347</v>
      </c>
      <c r="H22" s="11">
        <v>152.22999999999999</v>
      </c>
      <c r="I22" s="11">
        <f t="shared" si="4"/>
        <v>15.222999999999999</v>
      </c>
      <c r="J22" s="10">
        <v>3417</v>
      </c>
      <c r="K22" s="11">
        <f t="shared" si="5"/>
        <v>3.4169999999999998</v>
      </c>
      <c r="L22" s="24"/>
    </row>
    <row r="23" spans="1:12" ht="20.25" customHeight="1" x14ac:dyDescent="0.25">
      <c r="A23" s="8">
        <v>14</v>
      </c>
      <c r="B23" s="9" t="s">
        <v>17</v>
      </c>
      <c r="C23" s="11">
        <f t="shared" si="1"/>
        <v>44.648499999999999</v>
      </c>
      <c r="D23" s="19">
        <f t="shared" si="2"/>
        <v>1.1177752615932332E-2</v>
      </c>
      <c r="E23" s="10">
        <v>30</v>
      </c>
      <c r="F23" s="10">
        <v>14395</v>
      </c>
      <c r="G23" s="11">
        <f t="shared" si="3"/>
        <v>1.4395</v>
      </c>
      <c r="H23" s="11">
        <v>111.3</v>
      </c>
      <c r="I23" s="11">
        <f t="shared" si="4"/>
        <v>11.129999999999999</v>
      </c>
      <c r="J23" s="10">
        <v>2079</v>
      </c>
      <c r="K23" s="11">
        <f t="shared" si="5"/>
        <v>2.0790000000000002</v>
      </c>
      <c r="L23" s="24"/>
    </row>
    <row r="24" spans="1:12" ht="20.25" customHeight="1" x14ac:dyDescent="0.25">
      <c r="A24" s="8">
        <v>15</v>
      </c>
      <c r="B24" s="9" t="s">
        <v>18</v>
      </c>
      <c r="C24" s="11">
        <f t="shared" si="1"/>
        <v>51.081400000000002</v>
      </c>
      <c r="D24" s="19">
        <f t="shared" si="2"/>
        <v>1.2788229223277062E-2</v>
      </c>
      <c r="E24" s="10">
        <v>30</v>
      </c>
      <c r="F24" s="10">
        <v>23314</v>
      </c>
      <c r="G24" s="11">
        <f t="shared" si="3"/>
        <v>2.3313999999999999</v>
      </c>
      <c r="H24" s="11">
        <v>165.08</v>
      </c>
      <c r="I24" s="11">
        <f t="shared" si="4"/>
        <v>16.508000000000003</v>
      </c>
      <c r="J24" s="10">
        <v>2242</v>
      </c>
      <c r="K24" s="11">
        <f t="shared" si="5"/>
        <v>2.242</v>
      </c>
      <c r="L24" s="24"/>
    </row>
    <row r="25" spans="1:12" ht="20.25" customHeight="1" x14ac:dyDescent="0.25">
      <c r="A25" s="8">
        <v>16</v>
      </c>
      <c r="B25" s="9" t="s">
        <v>19</v>
      </c>
      <c r="C25" s="11">
        <f t="shared" si="1"/>
        <v>64.039100000000005</v>
      </c>
      <c r="D25" s="19">
        <f t="shared" si="2"/>
        <v>1.6032189604285749E-2</v>
      </c>
      <c r="E25" s="10">
        <v>30</v>
      </c>
      <c r="F25" s="10">
        <v>36771</v>
      </c>
      <c r="G25" s="11">
        <f t="shared" si="3"/>
        <v>3.6770999999999998</v>
      </c>
      <c r="H25" s="11">
        <v>244.71</v>
      </c>
      <c r="I25" s="11">
        <f t="shared" si="4"/>
        <v>24.471</v>
      </c>
      <c r="J25" s="10">
        <v>5891</v>
      </c>
      <c r="K25" s="11">
        <f t="shared" si="5"/>
        <v>5.891</v>
      </c>
      <c r="L25" s="24"/>
    </row>
    <row r="26" spans="1:12" ht="20.25" customHeight="1" x14ac:dyDescent="0.25">
      <c r="A26" s="8">
        <v>17</v>
      </c>
      <c r="B26" s="9" t="s">
        <v>20</v>
      </c>
      <c r="C26" s="11">
        <f t="shared" si="1"/>
        <v>59.848000000000006</v>
      </c>
      <c r="D26" s="19">
        <f t="shared" si="2"/>
        <v>1.4982947659122217E-2</v>
      </c>
      <c r="E26" s="10">
        <v>30</v>
      </c>
      <c r="F26" s="10">
        <v>16810</v>
      </c>
      <c r="G26" s="11">
        <f t="shared" si="3"/>
        <v>1.681</v>
      </c>
      <c r="H26" s="11">
        <v>257.61</v>
      </c>
      <c r="I26" s="11">
        <f t="shared" si="4"/>
        <v>25.761000000000003</v>
      </c>
      <c r="J26" s="10">
        <v>2406</v>
      </c>
      <c r="K26" s="11">
        <f t="shared" si="5"/>
        <v>2.4060000000000001</v>
      </c>
      <c r="L26" s="24"/>
    </row>
    <row r="27" spans="1:12" ht="20.25" customHeight="1" x14ac:dyDescent="0.25">
      <c r="A27" s="8">
        <v>18</v>
      </c>
      <c r="B27" s="9" t="s">
        <v>21</v>
      </c>
      <c r="C27" s="11">
        <f t="shared" si="1"/>
        <v>75.612700000000004</v>
      </c>
      <c r="D27" s="19">
        <f t="shared" si="2"/>
        <v>1.8929640530425583E-2</v>
      </c>
      <c r="E27" s="10">
        <v>30</v>
      </c>
      <c r="F27" s="10">
        <v>24457</v>
      </c>
      <c r="G27" s="11">
        <f t="shared" si="3"/>
        <v>2.4457</v>
      </c>
      <c r="H27" s="11">
        <v>416.82</v>
      </c>
      <c r="I27" s="11">
        <f t="shared" si="4"/>
        <v>41.682000000000002</v>
      </c>
      <c r="J27" s="10">
        <v>1485</v>
      </c>
      <c r="K27" s="11">
        <f t="shared" si="5"/>
        <v>1.4850000000000001</v>
      </c>
      <c r="L27" s="24"/>
    </row>
    <row r="28" spans="1:12" ht="20.25" customHeight="1" x14ac:dyDescent="0.25">
      <c r="A28" s="8">
        <v>19</v>
      </c>
      <c r="B28" s="9" t="s">
        <v>22</v>
      </c>
      <c r="C28" s="11">
        <f t="shared" si="1"/>
        <v>48.483200000000004</v>
      </c>
      <c r="D28" s="19">
        <f t="shared" si="2"/>
        <v>1.2137769815979719E-2</v>
      </c>
      <c r="E28" s="10">
        <v>30</v>
      </c>
      <c r="F28" s="10">
        <v>27582</v>
      </c>
      <c r="G28" s="11">
        <f t="shared" si="3"/>
        <v>2.7582</v>
      </c>
      <c r="H28" s="11">
        <v>134.32</v>
      </c>
      <c r="I28" s="11">
        <f t="shared" si="4"/>
        <v>13.431999999999999</v>
      </c>
      <c r="J28" s="10">
        <v>2293</v>
      </c>
      <c r="K28" s="11">
        <f t="shared" si="5"/>
        <v>2.2930000000000001</v>
      </c>
      <c r="L28" s="24"/>
    </row>
    <row r="29" spans="1:12" s="12" customFormat="1" ht="20.25" customHeight="1" x14ac:dyDescent="0.25">
      <c r="A29" s="8">
        <v>20</v>
      </c>
      <c r="B29" s="9" t="s">
        <v>23</v>
      </c>
      <c r="C29" s="11">
        <f t="shared" si="1"/>
        <v>92.614699999999999</v>
      </c>
      <c r="D29" s="19">
        <f t="shared" si="2"/>
        <v>2.3186091474490481E-2</v>
      </c>
      <c r="E29" s="10">
        <v>10</v>
      </c>
      <c r="F29" s="10">
        <v>106667</v>
      </c>
      <c r="G29" s="11">
        <f t="shared" si="3"/>
        <v>10.666700000000001</v>
      </c>
      <c r="H29" s="11">
        <v>34.9</v>
      </c>
      <c r="I29" s="11">
        <f t="shared" si="4"/>
        <v>3.4899999999999998</v>
      </c>
      <c r="J29" s="10">
        <v>68458</v>
      </c>
      <c r="K29" s="11">
        <f t="shared" si="5"/>
        <v>68.457999999999998</v>
      </c>
      <c r="L29" s="10"/>
    </row>
    <row r="30" spans="1:12" ht="20.25" customHeight="1" x14ac:dyDescent="0.25">
      <c r="A30" s="8">
        <v>21</v>
      </c>
      <c r="B30" s="9" t="s">
        <v>24</v>
      </c>
      <c r="C30" s="11">
        <f t="shared" si="1"/>
        <v>27.5518</v>
      </c>
      <c r="D30" s="19">
        <f t="shared" si="2"/>
        <v>6.8975935255080108E-3</v>
      </c>
      <c r="E30" s="10">
        <v>10</v>
      </c>
      <c r="F30" s="10">
        <v>23738</v>
      </c>
      <c r="G30" s="11">
        <f t="shared" si="3"/>
        <v>2.3738000000000001</v>
      </c>
      <c r="H30" s="11">
        <v>26.28</v>
      </c>
      <c r="I30" s="11">
        <f t="shared" si="4"/>
        <v>2.6280000000000001</v>
      </c>
      <c r="J30" s="10">
        <v>12550</v>
      </c>
      <c r="K30" s="11">
        <f t="shared" si="5"/>
        <v>12.55</v>
      </c>
      <c r="L30" s="24"/>
    </row>
    <row r="31" spans="1:12" ht="20.25" customHeight="1" x14ac:dyDescent="0.25">
      <c r="A31" s="8">
        <v>22</v>
      </c>
      <c r="B31" s="9" t="s">
        <v>25</v>
      </c>
      <c r="C31" s="11">
        <f t="shared" si="1"/>
        <v>32.282399999999996</v>
      </c>
      <c r="D31" s="19">
        <f t="shared" si="2"/>
        <v>8.081899303416103E-3</v>
      </c>
      <c r="E31" s="10">
        <v>10</v>
      </c>
      <c r="F31" s="10">
        <v>21204</v>
      </c>
      <c r="G31" s="11">
        <f t="shared" si="3"/>
        <v>2.1204000000000001</v>
      </c>
      <c r="H31" s="11">
        <v>95.26</v>
      </c>
      <c r="I31" s="11">
        <f t="shared" si="4"/>
        <v>9.5259999999999998</v>
      </c>
      <c r="J31" s="10">
        <v>10636</v>
      </c>
      <c r="K31" s="11">
        <f t="shared" si="5"/>
        <v>10.635999999999999</v>
      </c>
      <c r="L31" s="24"/>
    </row>
    <row r="32" spans="1:12" ht="20.25" customHeight="1" x14ac:dyDescent="0.25">
      <c r="A32" s="8">
        <v>23</v>
      </c>
      <c r="B32" s="9" t="s">
        <v>26</v>
      </c>
      <c r="C32" s="11">
        <f t="shared" si="1"/>
        <v>29.689599999999999</v>
      </c>
      <c r="D32" s="19">
        <f t="shared" si="2"/>
        <v>7.4327917861962793E-3</v>
      </c>
      <c r="E32" s="10">
        <v>10</v>
      </c>
      <c r="F32" s="10">
        <v>18046</v>
      </c>
      <c r="G32" s="11">
        <f t="shared" si="3"/>
        <v>1.8046</v>
      </c>
      <c r="H32" s="11">
        <v>107.75</v>
      </c>
      <c r="I32" s="11">
        <f t="shared" si="4"/>
        <v>10.775</v>
      </c>
      <c r="J32" s="10">
        <v>7110</v>
      </c>
      <c r="K32" s="11">
        <f t="shared" si="5"/>
        <v>7.11</v>
      </c>
      <c r="L32" s="24"/>
    </row>
    <row r="33" spans="1:12" ht="20.25" customHeight="1" x14ac:dyDescent="0.25">
      <c r="A33" s="8">
        <v>24</v>
      </c>
      <c r="B33" s="9" t="s">
        <v>27</v>
      </c>
      <c r="C33" s="11">
        <f t="shared" si="1"/>
        <v>23.148499999999999</v>
      </c>
      <c r="D33" s="19">
        <f t="shared" si="2"/>
        <v>5.7952273072983318E-3</v>
      </c>
      <c r="E33" s="10">
        <v>10</v>
      </c>
      <c r="F33" s="10">
        <v>26855</v>
      </c>
      <c r="G33" s="11">
        <f t="shared" si="3"/>
        <v>2.6855000000000002</v>
      </c>
      <c r="H33" s="11">
        <v>30.84</v>
      </c>
      <c r="I33" s="11">
        <f t="shared" si="4"/>
        <v>3.0840000000000001</v>
      </c>
      <c r="J33" s="10">
        <v>7379</v>
      </c>
      <c r="K33" s="11">
        <f t="shared" si="5"/>
        <v>7.3789999999999996</v>
      </c>
      <c r="L33" s="24"/>
    </row>
    <row r="34" spans="1:12" ht="20.25" customHeight="1" x14ac:dyDescent="0.25">
      <c r="A34" s="8">
        <v>25</v>
      </c>
      <c r="B34" s="9" t="s">
        <v>28</v>
      </c>
      <c r="C34" s="11">
        <f t="shared" si="1"/>
        <v>31.436599999999999</v>
      </c>
      <c r="D34" s="19">
        <f t="shared" si="2"/>
        <v>7.8701532612745866E-3</v>
      </c>
      <c r="E34" s="10">
        <v>10</v>
      </c>
      <c r="F34" s="10">
        <v>35956</v>
      </c>
      <c r="G34" s="11">
        <f t="shared" si="3"/>
        <v>3.5956000000000001</v>
      </c>
      <c r="H34" s="11">
        <v>43.5</v>
      </c>
      <c r="I34" s="11">
        <f t="shared" si="4"/>
        <v>4.3499999999999996</v>
      </c>
      <c r="J34" s="10">
        <v>13491</v>
      </c>
      <c r="K34" s="11">
        <f t="shared" si="5"/>
        <v>13.491</v>
      </c>
      <c r="L34" s="24"/>
    </row>
    <row r="35" spans="1:12" ht="20.25" customHeight="1" x14ac:dyDescent="0.25">
      <c r="A35" s="8">
        <v>26</v>
      </c>
      <c r="B35" s="9" t="s">
        <v>29</v>
      </c>
      <c r="C35" s="11">
        <f t="shared" si="1"/>
        <v>65.41</v>
      </c>
      <c r="D35" s="19">
        <f t="shared" si="2"/>
        <v>1.6375394438965112E-2</v>
      </c>
      <c r="E35" s="10">
        <v>10</v>
      </c>
      <c r="F35" s="10">
        <v>56900</v>
      </c>
      <c r="G35" s="11">
        <f t="shared" si="3"/>
        <v>5.69</v>
      </c>
      <c r="H35" s="11">
        <v>48.75</v>
      </c>
      <c r="I35" s="11">
        <f t="shared" si="4"/>
        <v>4.875</v>
      </c>
      <c r="J35" s="10">
        <v>44845</v>
      </c>
      <c r="K35" s="11">
        <f t="shared" si="5"/>
        <v>44.844999999999999</v>
      </c>
      <c r="L35" s="24"/>
    </row>
    <row r="36" spans="1:12" ht="20.25" customHeight="1" x14ac:dyDescent="0.25">
      <c r="A36" s="8">
        <v>27</v>
      </c>
      <c r="B36" s="9" t="s">
        <v>30</v>
      </c>
      <c r="C36" s="11">
        <f t="shared" si="1"/>
        <v>35.869500000000002</v>
      </c>
      <c r="D36" s="19">
        <f t="shared" si="2"/>
        <v>8.9799298399091763E-3</v>
      </c>
      <c r="E36" s="10">
        <v>10</v>
      </c>
      <c r="F36" s="10">
        <v>44485</v>
      </c>
      <c r="G36" s="11">
        <f t="shared" si="3"/>
        <v>4.4485000000000001</v>
      </c>
      <c r="H36" s="11">
        <v>50.45</v>
      </c>
      <c r="I36" s="11">
        <f t="shared" si="4"/>
        <v>5.0449999999999999</v>
      </c>
      <c r="J36" s="10">
        <v>16376</v>
      </c>
      <c r="K36" s="11">
        <f t="shared" si="5"/>
        <v>16.376000000000001</v>
      </c>
      <c r="L36" s="24"/>
    </row>
    <row r="37" spans="1:12" ht="20.25" customHeight="1" x14ac:dyDescent="0.25">
      <c r="A37" s="8">
        <v>28</v>
      </c>
      <c r="B37" s="9" t="s">
        <v>31</v>
      </c>
      <c r="C37" s="11">
        <f t="shared" si="1"/>
        <v>39.057500000000005</v>
      </c>
      <c r="D37" s="19">
        <f t="shared" si="2"/>
        <v>9.7780456856731389E-3</v>
      </c>
      <c r="E37" s="10">
        <v>10</v>
      </c>
      <c r="F37" s="10">
        <v>46745</v>
      </c>
      <c r="G37" s="11">
        <f t="shared" si="3"/>
        <v>4.6745000000000001</v>
      </c>
      <c r="H37" s="11">
        <v>66.48</v>
      </c>
      <c r="I37" s="11">
        <f t="shared" si="4"/>
        <v>6.6480000000000006</v>
      </c>
      <c r="J37" s="10">
        <v>17735</v>
      </c>
      <c r="K37" s="11">
        <f t="shared" si="5"/>
        <v>17.734999999999999</v>
      </c>
      <c r="L37" s="24"/>
    </row>
    <row r="38" spans="1:12" ht="20.25" customHeight="1" x14ac:dyDescent="0.25">
      <c r="A38" s="8">
        <v>29</v>
      </c>
      <c r="B38" s="13" t="s">
        <v>32</v>
      </c>
      <c r="C38" s="11">
        <f t="shared" si="1"/>
        <v>63.738399999999999</v>
      </c>
      <c r="D38" s="19">
        <f t="shared" si="2"/>
        <v>1.5956909354969177E-2</v>
      </c>
      <c r="E38" s="10">
        <v>10</v>
      </c>
      <c r="F38" s="10">
        <v>77704</v>
      </c>
      <c r="G38" s="11">
        <f t="shared" si="3"/>
        <v>7.7704000000000004</v>
      </c>
      <c r="H38" s="11">
        <v>60.4</v>
      </c>
      <c r="I38" s="11">
        <f t="shared" si="4"/>
        <v>6.04</v>
      </c>
      <c r="J38" s="10">
        <v>39928</v>
      </c>
      <c r="K38" s="11">
        <f t="shared" si="5"/>
        <v>39.927999999999997</v>
      </c>
      <c r="L38" s="24"/>
    </row>
    <row r="39" spans="1:12" ht="20.25" customHeight="1" x14ac:dyDescent="0.25">
      <c r="A39" s="8">
        <v>30</v>
      </c>
      <c r="B39" s="13" t="s">
        <v>33</v>
      </c>
      <c r="C39" s="11">
        <f t="shared" si="1"/>
        <v>33.876300000000001</v>
      </c>
      <c r="D39" s="19">
        <f t="shared" si="2"/>
        <v>8.4809321912966504E-3</v>
      </c>
      <c r="E39" s="10">
        <v>10</v>
      </c>
      <c r="F39" s="10">
        <v>50473</v>
      </c>
      <c r="G39" s="11">
        <f t="shared" si="3"/>
        <v>5.0472999999999999</v>
      </c>
      <c r="H39" s="11">
        <v>48.56</v>
      </c>
      <c r="I39" s="11">
        <f t="shared" si="4"/>
        <v>4.8559999999999999</v>
      </c>
      <c r="J39" s="10">
        <v>13973</v>
      </c>
      <c r="K39" s="11">
        <f t="shared" si="5"/>
        <v>13.973000000000001</v>
      </c>
      <c r="L39" s="24"/>
    </row>
    <row r="40" spans="1:12" ht="20.25" customHeight="1" x14ac:dyDescent="0.25">
      <c r="A40" s="8">
        <v>31</v>
      </c>
      <c r="B40" s="9" t="s">
        <v>34</v>
      </c>
      <c r="C40" s="11">
        <f t="shared" si="1"/>
        <v>30.1069</v>
      </c>
      <c r="D40" s="19">
        <f t="shared" si="2"/>
        <v>7.5372628471866501E-3</v>
      </c>
      <c r="E40" s="10">
        <v>10</v>
      </c>
      <c r="F40" s="10">
        <v>25869</v>
      </c>
      <c r="G40" s="11">
        <f t="shared" si="3"/>
        <v>2.5869</v>
      </c>
      <c r="H40" s="11">
        <v>118.45</v>
      </c>
      <c r="I40" s="11">
        <f t="shared" si="4"/>
        <v>11.845000000000001</v>
      </c>
      <c r="J40" s="10">
        <v>5675</v>
      </c>
      <c r="K40" s="11">
        <f t="shared" si="5"/>
        <v>5.6749999999999998</v>
      </c>
      <c r="L40" s="24"/>
    </row>
    <row r="41" spans="1:12" ht="20.25" customHeight="1" x14ac:dyDescent="0.25">
      <c r="A41" s="8">
        <v>32</v>
      </c>
      <c r="B41" s="9" t="s">
        <v>35</v>
      </c>
      <c r="C41" s="11">
        <f t="shared" si="1"/>
        <v>30.373800000000003</v>
      </c>
      <c r="D41" s="19">
        <f t="shared" si="2"/>
        <v>7.6040812660180188E-3</v>
      </c>
      <c r="E41" s="10">
        <v>10</v>
      </c>
      <c r="F41" s="10">
        <v>16738</v>
      </c>
      <c r="G41" s="11">
        <f t="shared" si="3"/>
        <v>1.6738</v>
      </c>
      <c r="H41" s="11">
        <v>108.18</v>
      </c>
      <c r="I41" s="11">
        <f t="shared" si="4"/>
        <v>10.818000000000001</v>
      </c>
      <c r="J41" s="10">
        <v>7882</v>
      </c>
      <c r="K41" s="11">
        <f t="shared" si="5"/>
        <v>7.8819999999999997</v>
      </c>
      <c r="L41" s="24"/>
    </row>
    <row r="42" spans="1:12" ht="20.25" customHeight="1" x14ac:dyDescent="0.25">
      <c r="A42" s="8">
        <v>33</v>
      </c>
      <c r="B42" s="9" t="s">
        <v>36</v>
      </c>
      <c r="C42" s="11">
        <f t="shared" si="1"/>
        <v>28.823999999999998</v>
      </c>
      <c r="D42" s="19">
        <f t="shared" si="2"/>
        <v>7.2160888137705308E-3</v>
      </c>
      <c r="E42" s="10">
        <v>10</v>
      </c>
      <c r="F42" s="10">
        <v>16880</v>
      </c>
      <c r="G42" s="11">
        <f t="shared" si="3"/>
        <v>1.6879999999999999</v>
      </c>
      <c r="H42" s="11">
        <v>135.56</v>
      </c>
      <c r="I42" s="11">
        <f t="shared" si="4"/>
        <v>13.556000000000001</v>
      </c>
      <c r="J42" s="10">
        <v>3580</v>
      </c>
      <c r="K42" s="11">
        <f t="shared" si="5"/>
        <v>3.58</v>
      </c>
      <c r="L42" s="24"/>
    </row>
    <row r="43" spans="1:12" ht="20.25" customHeight="1" x14ac:dyDescent="0.25">
      <c r="A43" s="8">
        <v>34</v>
      </c>
      <c r="B43" s="9" t="s">
        <v>37</v>
      </c>
      <c r="C43" s="11">
        <f t="shared" si="1"/>
        <v>82.174999999999997</v>
      </c>
      <c r="D43" s="19">
        <f t="shared" si="2"/>
        <v>2.0572512429627859E-2</v>
      </c>
      <c r="E43" s="10">
        <v>10</v>
      </c>
      <c r="F43" s="10">
        <v>89360</v>
      </c>
      <c r="G43" s="11">
        <f t="shared" si="3"/>
        <v>8.9359999999999999</v>
      </c>
      <c r="H43" s="11">
        <v>21.35</v>
      </c>
      <c r="I43" s="11">
        <f t="shared" si="4"/>
        <v>2.1350000000000002</v>
      </c>
      <c r="J43" s="10">
        <v>61104</v>
      </c>
      <c r="K43" s="11">
        <f t="shared" si="5"/>
        <v>61.103999999999999</v>
      </c>
      <c r="L43" s="24"/>
    </row>
    <row r="44" spans="1:12" ht="20.25" customHeight="1" x14ac:dyDescent="0.25">
      <c r="A44" s="8">
        <v>35</v>
      </c>
      <c r="B44" s="9" t="s">
        <v>38</v>
      </c>
      <c r="C44" s="11">
        <f t="shared" si="1"/>
        <v>40.491700000000002</v>
      </c>
      <c r="D44" s="19">
        <f t="shared" si="2"/>
        <v>1.0137097676261178E-2</v>
      </c>
      <c r="E44" s="10">
        <v>10</v>
      </c>
      <c r="F44" s="10">
        <v>106017</v>
      </c>
      <c r="G44" s="11">
        <f t="shared" si="3"/>
        <v>10.601699999999999</v>
      </c>
      <c r="H44" s="11">
        <v>55.99</v>
      </c>
      <c r="I44" s="11">
        <f t="shared" si="4"/>
        <v>5.5990000000000002</v>
      </c>
      <c r="J44" s="10">
        <v>14291</v>
      </c>
      <c r="K44" s="11">
        <f t="shared" si="5"/>
        <v>14.291</v>
      </c>
      <c r="L44" s="24"/>
    </row>
    <row r="45" spans="1:12" ht="20.25" customHeight="1" x14ac:dyDescent="0.25">
      <c r="A45" s="8">
        <v>36</v>
      </c>
      <c r="B45" s="9" t="s">
        <v>39</v>
      </c>
      <c r="C45" s="11">
        <f t="shared" si="1"/>
        <v>41.718000000000004</v>
      </c>
      <c r="D45" s="19">
        <f t="shared" si="2"/>
        <v>1.0444101898864801E-2</v>
      </c>
      <c r="E45" s="10">
        <v>10</v>
      </c>
      <c r="F45" s="10">
        <v>66340</v>
      </c>
      <c r="G45" s="11">
        <f t="shared" si="3"/>
        <v>6.6340000000000003</v>
      </c>
      <c r="H45" s="11">
        <v>43.09</v>
      </c>
      <c r="I45" s="11">
        <f t="shared" si="4"/>
        <v>4.3090000000000002</v>
      </c>
      <c r="J45" s="10">
        <v>20775</v>
      </c>
      <c r="K45" s="11">
        <f t="shared" si="5"/>
        <v>20.774999999999999</v>
      </c>
      <c r="L45" s="24"/>
    </row>
    <row r="46" spans="1:12" ht="20.25" customHeight="1" x14ac:dyDescent="0.25">
      <c r="A46" s="8">
        <v>37</v>
      </c>
      <c r="B46" s="9" t="s">
        <v>40</v>
      </c>
      <c r="C46" s="11">
        <f t="shared" si="1"/>
        <v>43.019199999999998</v>
      </c>
      <c r="D46" s="19">
        <f t="shared" si="2"/>
        <v>1.0769857337543617E-2</v>
      </c>
      <c r="E46" s="10">
        <v>10</v>
      </c>
      <c r="F46" s="10">
        <v>53532</v>
      </c>
      <c r="G46" s="11">
        <f t="shared" si="3"/>
        <v>5.3532000000000002</v>
      </c>
      <c r="H46" s="11">
        <v>36.97</v>
      </c>
      <c r="I46" s="11">
        <f t="shared" si="4"/>
        <v>3.6970000000000001</v>
      </c>
      <c r="J46" s="10">
        <v>23969</v>
      </c>
      <c r="K46" s="11">
        <f t="shared" si="5"/>
        <v>23.969000000000001</v>
      </c>
      <c r="L46" s="24"/>
    </row>
    <row r="47" spans="1:12" ht="20.25" customHeight="1" x14ac:dyDescent="0.25">
      <c r="A47" s="8">
        <v>38</v>
      </c>
      <c r="B47" s="9" t="s">
        <v>41</v>
      </c>
      <c r="C47" s="11">
        <f t="shared" si="1"/>
        <v>33.629799999999996</v>
      </c>
      <c r="D47" s="19">
        <f t="shared" si="2"/>
        <v>8.4192209127581241E-3</v>
      </c>
      <c r="E47" s="10">
        <v>10</v>
      </c>
      <c r="F47" s="10">
        <v>35878</v>
      </c>
      <c r="G47" s="11">
        <f t="shared" si="3"/>
        <v>3.5878000000000001</v>
      </c>
      <c r="H47" s="11">
        <v>177.15</v>
      </c>
      <c r="I47" s="11">
        <f t="shared" si="4"/>
        <v>17.715</v>
      </c>
      <c r="J47" s="10">
        <v>2327</v>
      </c>
      <c r="K47" s="11">
        <f t="shared" si="5"/>
        <v>2.327</v>
      </c>
      <c r="L47" s="24"/>
    </row>
    <row r="48" spans="1:12" ht="20.25" customHeight="1" x14ac:dyDescent="0.25">
      <c r="A48" s="8">
        <v>39</v>
      </c>
      <c r="B48" s="9" t="s">
        <v>42</v>
      </c>
      <c r="C48" s="11">
        <f t="shared" si="1"/>
        <v>22.176200000000001</v>
      </c>
      <c r="D48" s="19">
        <f t="shared" si="2"/>
        <v>5.5518119883408981E-3</v>
      </c>
      <c r="E48" s="10">
        <v>10</v>
      </c>
      <c r="F48" s="10">
        <v>24072</v>
      </c>
      <c r="G48" s="11">
        <f t="shared" si="3"/>
        <v>2.4072</v>
      </c>
      <c r="H48" s="11">
        <v>54.77</v>
      </c>
      <c r="I48" s="11">
        <f t="shared" si="4"/>
        <v>5.4770000000000003</v>
      </c>
      <c r="J48" s="10">
        <v>4292</v>
      </c>
      <c r="K48" s="11">
        <f t="shared" si="5"/>
        <v>4.2919999999999998</v>
      </c>
      <c r="L48" s="24"/>
    </row>
    <row r="49" spans="1:12" ht="20.25" customHeight="1" x14ac:dyDescent="0.25">
      <c r="A49" s="8">
        <v>40</v>
      </c>
      <c r="B49" s="9" t="s">
        <v>43</v>
      </c>
      <c r="C49" s="11">
        <f t="shared" si="1"/>
        <v>31.167100000000001</v>
      </c>
      <c r="D49" s="19">
        <f t="shared" si="2"/>
        <v>7.802683932405895E-3</v>
      </c>
      <c r="E49" s="10">
        <v>10</v>
      </c>
      <c r="F49" s="10">
        <v>51901</v>
      </c>
      <c r="G49" s="11">
        <f t="shared" si="3"/>
        <v>5.1901000000000002</v>
      </c>
      <c r="H49" s="11">
        <v>93.41</v>
      </c>
      <c r="I49" s="11">
        <f t="shared" si="4"/>
        <v>9.3409999999999993</v>
      </c>
      <c r="J49" s="10">
        <v>6636</v>
      </c>
      <c r="K49" s="11">
        <f t="shared" si="5"/>
        <v>6.6360000000000001</v>
      </c>
      <c r="L49" s="24"/>
    </row>
    <row r="50" spans="1:12" ht="20.25" customHeight="1" x14ac:dyDescent="0.25">
      <c r="A50" s="8">
        <v>41</v>
      </c>
      <c r="B50" s="9" t="s">
        <v>44</v>
      </c>
      <c r="C50" s="11">
        <f t="shared" si="1"/>
        <v>36.231200000000001</v>
      </c>
      <c r="D50" s="19">
        <f t="shared" si="2"/>
        <v>9.0704814401014033E-3</v>
      </c>
      <c r="E50" s="10">
        <v>20</v>
      </c>
      <c r="F50" s="10">
        <v>32292</v>
      </c>
      <c r="G50" s="11">
        <f t="shared" si="3"/>
        <v>3.2292000000000001</v>
      </c>
      <c r="H50" s="11">
        <v>25.5</v>
      </c>
      <c r="I50" s="11">
        <f t="shared" si="4"/>
        <v>2.5499999999999998</v>
      </c>
      <c r="J50" s="10">
        <v>10452</v>
      </c>
      <c r="K50" s="11">
        <f t="shared" si="5"/>
        <v>10.452</v>
      </c>
      <c r="L50" s="24"/>
    </row>
    <row r="51" spans="1:12" ht="20.25" customHeight="1" x14ac:dyDescent="0.25">
      <c r="A51" s="8">
        <v>42</v>
      </c>
      <c r="B51" s="9" t="s">
        <v>45</v>
      </c>
      <c r="C51" s="11">
        <f t="shared" si="1"/>
        <v>32.8065</v>
      </c>
      <c r="D51" s="19">
        <f t="shared" si="2"/>
        <v>8.2131077459395956E-3</v>
      </c>
      <c r="E51" s="10">
        <v>20</v>
      </c>
      <c r="F51" s="10">
        <v>28965</v>
      </c>
      <c r="G51" s="11">
        <f t="shared" si="3"/>
        <v>2.8965000000000001</v>
      </c>
      <c r="H51" s="11">
        <v>22.8</v>
      </c>
      <c r="I51" s="11">
        <f t="shared" si="4"/>
        <v>2.2800000000000002</v>
      </c>
      <c r="J51" s="10">
        <v>7630</v>
      </c>
      <c r="K51" s="11">
        <f t="shared" si="5"/>
        <v>7.63</v>
      </c>
      <c r="L51" s="24"/>
    </row>
    <row r="52" spans="1:12" ht="20.25" customHeight="1" x14ac:dyDescent="0.25">
      <c r="A52" s="8">
        <v>43</v>
      </c>
      <c r="B52" s="9" t="s">
        <v>46</v>
      </c>
      <c r="C52" s="11">
        <f t="shared" si="1"/>
        <v>36.704899999999995</v>
      </c>
      <c r="D52" s="19">
        <f t="shared" si="2"/>
        <v>9.1890722419013995E-3</v>
      </c>
      <c r="E52" s="10">
        <v>20</v>
      </c>
      <c r="F52" s="10">
        <v>52249</v>
      </c>
      <c r="G52" s="11">
        <f t="shared" si="3"/>
        <v>5.2248999999999999</v>
      </c>
      <c r="H52" s="11">
        <v>52.66</v>
      </c>
      <c r="I52" s="11">
        <f t="shared" si="4"/>
        <v>5.266</v>
      </c>
      <c r="J52" s="10">
        <v>6214</v>
      </c>
      <c r="K52" s="11">
        <f t="shared" si="5"/>
        <v>6.2140000000000004</v>
      </c>
      <c r="L52" s="24"/>
    </row>
    <row r="53" spans="1:12" ht="20.25" customHeight="1" x14ac:dyDescent="0.25">
      <c r="A53" s="8">
        <v>44</v>
      </c>
      <c r="B53" s="9" t="s">
        <v>47</v>
      </c>
      <c r="C53" s="11">
        <f t="shared" si="1"/>
        <v>53.99</v>
      </c>
      <c r="D53" s="19">
        <f t="shared" si="2"/>
        <v>1.3516397275030217E-2</v>
      </c>
      <c r="E53" s="10">
        <v>20</v>
      </c>
      <c r="F53" s="10">
        <v>55010</v>
      </c>
      <c r="G53" s="11">
        <f t="shared" si="3"/>
        <v>5.5010000000000003</v>
      </c>
      <c r="H53" s="11">
        <v>105.35</v>
      </c>
      <c r="I53" s="11">
        <f t="shared" si="4"/>
        <v>10.535</v>
      </c>
      <c r="J53" s="10">
        <v>17954</v>
      </c>
      <c r="K53" s="11">
        <f t="shared" si="5"/>
        <v>17.954000000000001</v>
      </c>
      <c r="L53" s="24"/>
    </row>
    <row r="54" spans="1:12" ht="20.25" customHeight="1" x14ac:dyDescent="0.25">
      <c r="A54" s="8">
        <v>45</v>
      </c>
      <c r="B54" s="9" t="s">
        <v>48</v>
      </c>
      <c r="C54" s="11">
        <f t="shared" si="1"/>
        <v>49.984200000000001</v>
      </c>
      <c r="D54" s="19">
        <f t="shared" si="2"/>
        <v>1.2513545187526679E-2</v>
      </c>
      <c r="E54" s="10">
        <v>20</v>
      </c>
      <c r="F54" s="10">
        <v>61212</v>
      </c>
      <c r="G54" s="11">
        <f t="shared" si="3"/>
        <v>6.1212</v>
      </c>
      <c r="H54" s="11">
        <v>78.44</v>
      </c>
      <c r="I54" s="11">
        <f t="shared" si="4"/>
        <v>7.8439999999999994</v>
      </c>
      <c r="J54" s="10">
        <v>16019</v>
      </c>
      <c r="K54" s="11">
        <f t="shared" si="5"/>
        <v>16.018999999999998</v>
      </c>
      <c r="L54" s="24"/>
    </row>
    <row r="55" spans="1:12" ht="20.25" customHeight="1" x14ac:dyDescent="0.25">
      <c r="A55" s="8">
        <v>46</v>
      </c>
      <c r="B55" s="9" t="s">
        <v>49</v>
      </c>
      <c r="C55" s="11">
        <f t="shared" si="1"/>
        <v>35.562800000000003</v>
      </c>
      <c r="D55" s="19">
        <f t="shared" si="2"/>
        <v>8.9031474905064759E-3</v>
      </c>
      <c r="E55" s="10">
        <v>20</v>
      </c>
      <c r="F55" s="10">
        <v>43528</v>
      </c>
      <c r="G55" s="11">
        <f t="shared" si="3"/>
        <v>4.3528000000000002</v>
      </c>
      <c r="H55" s="11">
        <v>30.73</v>
      </c>
      <c r="I55" s="11">
        <f t="shared" si="4"/>
        <v>3.073</v>
      </c>
      <c r="J55" s="10">
        <v>8137</v>
      </c>
      <c r="K55" s="11">
        <f t="shared" si="5"/>
        <v>8.1370000000000005</v>
      </c>
      <c r="L55" s="24"/>
    </row>
    <row r="56" spans="1:12" ht="20.25" customHeight="1" x14ac:dyDescent="0.25">
      <c r="A56" s="8">
        <v>47</v>
      </c>
      <c r="B56" s="9" t="s">
        <v>50</v>
      </c>
      <c r="C56" s="11">
        <f t="shared" si="1"/>
        <v>46.613399999999999</v>
      </c>
      <c r="D56" s="19">
        <f t="shared" si="2"/>
        <v>1.1669665359138609E-2</v>
      </c>
      <c r="E56" s="10">
        <v>20</v>
      </c>
      <c r="F56" s="10">
        <v>37354</v>
      </c>
      <c r="G56" s="11">
        <f t="shared" si="3"/>
        <v>3.7353999999999998</v>
      </c>
      <c r="H56" s="11">
        <v>50.26</v>
      </c>
      <c r="I56" s="11">
        <f t="shared" si="4"/>
        <v>5.0259999999999998</v>
      </c>
      <c r="J56" s="10">
        <v>17852</v>
      </c>
      <c r="K56" s="11">
        <f t="shared" si="5"/>
        <v>17.852</v>
      </c>
      <c r="L56" s="24"/>
    </row>
    <row r="57" spans="1:12" ht="20.25" customHeight="1" x14ac:dyDescent="0.25">
      <c r="A57" s="8">
        <v>48</v>
      </c>
      <c r="B57" s="9" t="s">
        <v>51</v>
      </c>
      <c r="C57" s="11">
        <f t="shared" si="1"/>
        <v>66.242400000000004</v>
      </c>
      <c r="D57" s="19">
        <f t="shared" si="2"/>
        <v>1.6583785790914275E-2</v>
      </c>
      <c r="E57" s="10">
        <v>20</v>
      </c>
      <c r="F57" s="10">
        <v>49864</v>
      </c>
      <c r="G57" s="11">
        <f t="shared" si="3"/>
        <v>4.9863999999999997</v>
      </c>
      <c r="H57" s="11">
        <v>63.31</v>
      </c>
      <c r="I57" s="11">
        <f t="shared" si="4"/>
        <v>6.3310000000000004</v>
      </c>
      <c r="J57" s="10">
        <v>34925</v>
      </c>
      <c r="K57" s="11">
        <f t="shared" si="5"/>
        <v>34.924999999999997</v>
      </c>
      <c r="L57" s="24"/>
    </row>
    <row r="58" spans="1:12" ht="20.25" customHeight="1" x14ac:dyDescent="0.25">
      <c r="A58" s="8">
        <v>49</v>
      </c>
      <c r="B58" s="9" t="s">
        <v>52</v>
      </c>
      <c r="C58" s="11">
        <f t="shared" si="1"/>
        <v>39.556000000000004</v>
      </c>
      <c r="D58" s="19">
        <f t="shared" si="2"/>
        <v>9.9028451678291416E-3</v>
      </c>
      <c r="E58" s="10">
        <v>20</v>
      </c>
      <c r="F58" s="10">
        <v>22930</v>
      </c>
      <c r="G58" s="11">
        <f t="shared" si="3"/>
        <v>2.2930000000000001</v>
      </c>
      <c r="H58" s="11">
        <v>134.13</v>
      </c>
      <c r="I58" s="11">
        <f t="shared" si="4"/>
        <v>13.413</v>
      </c>
      <c r="J58" s="10">
        <v>3850</v>
      </c>
      <c r="K58" s="11">
        <f t="shared" si="5"/>
        <v>3.85</v>
      </c>
      <c r="L58" s="24"/>
    </row>
    <row r="59" spans="1:12" ht="20.25" customHeight="1" x14ac:dyDescent="0.25">
      <c r="A59" s="8">
        <v>50</v>
      </c>
      <c r="B59" s="9" t="s">
        <v>53</v>
      </c>
      <c r="C59" s="11">
        <f t="shared" si="1"/>
        <v>37.338000000000001</v>
      </c>
      <c r="D59" s="19">
        <f t="shared" si="2"/>
        <v>9.3475688359895958E-3</v>
      </c>
      <c r="E59" s="10">
        <v>20</v>
      </c>
      <c r="F59" s="10">
        <v>39330</v>
      </c>
      <c r="G59" s="11">
        <f t="shared" si="3"/>
        <v>3.9329999999999998</v>
      </c>
      <c r="H59" s="11">
        <v>53.37</v>
      </c>
      <c r="I59" s="11">
        <f t="shared" si="4"/>
        <v>5.3369999999999997</v>
      </c>
      <c r="J59" s="10">
        <v>8068</v>
      </c>
      <c r="K59" s="11">
        <f t="shared" si="5"/>
        <v>8.0679999999999996</v>
      </c>
      <c r="L59" s="24"/>
    </row>
    <row r="60" spans="1:12" ht="20.25" customHeight="1" x14ac:dyDescent="0.25">
      <c r="A60" s="8">
        <v>51</v>
      </c>
      <c r="B60" s="9" t="s">
        <v>54</v>
      </c>
      <c r="C60" s="11">
        <f t="shared" si="1"/>
        <v>33.353499999999997</v>
      </c>
      <c r="D60" s="19">
        <f t="shared" si="2"/>
        <v>8.3500492037918185E-3</v>
      </c>
      <c r="E60" s="10">
        <v>20</v>
      </c>
      <c r="F60" s="10">
        <v>29485</v>
      </c>
      <c r="G60" s="11">
        <f t="shared" si="3"/>
        <v>2.9485000000000001</v>
      </c>
      <c r="H60" s="11">
        <v>33.75</v>
      </c>
      <c r="I60" s="11">
        <f t="shared" si="4"/>
        <v>3.375</v>
      </c>
      <c r="J60" s="10">
        <v>7030</v>
      </c>
      <c r="K60" s="11">
        <f t="shared" si="5"/>
        <v>7.03</v>
      </c>
      <c r="L60" s="24"/>
    </row>
    <row r="61" spans="1:12" ht="20.25" customHeight="1" x14ac:dyDescent="0.25">
      <c r="A61" s="8">
        <v>52</v>
      </c>
      <c r="B61" s="9" t="s">
        <v>55</v>
      </c>
      <c r="C61" s="11">
        <f t="shared" si="1"/>
        <v>30.824400000000001</v>
      </c>
      <c r="D61" s="19">
        <f t="shared" si="2"/>
        <v>7.7168889824864124E-3</v>
      </c>
      <c r="E61" s="10">
        <v>20</v>
      </c>
      <c r="F61" s="10">
        <v>22784</v>
      </c>
      <c r="G61" s="11">
        <f t="shared" si="3"/>
        <v>2.2784</v>
      </c>
      <c r="H61" s="11">
        <v>24.71</v>
      </c>
      <c r="I61" s="11">
        <f t="shared" si="4"/>
        <v>2.4710000000000001</v>
      </c>
      <c r="J61" s="10">
        <v>6075</v>
      </c>
      <c r="K61" s="11">
        <f t="shared" si="5"/>
        <v>6.0750000000000002</v>
      </c>
      <c r="L61" s="24"/>
    </row>
    <row r="62" spans="1:12" ht="20.25" customHeight="1" x14ac:dyDescent="0.25">
      <c r="A62" s="8">
        <v>53</v>
      </c>
      <c r="B62" s="9" t="s">
        <v>56</v>
      </c>
      <c r="C62" s="11">
        <f t="shared" si="1"/>
        <v>31.5274</v>
      </c>
      <c r="D62" s="19">
        <f t="shared" si="2"/>
        <v>7.8928850425780267E-3</v>
      </c>
      <c r="E62" s="10">
        <v>20</v>
      </c>
      <c r="F62" s="10">
        <v>25354</v>
      </c>
      <c r="G62" s="11">
        <f t="shared" si="3"/>
        <v>2.5354000000000001</v>
      </c>
      <c r="H62" s="11">
        <v>40.729999999999997</v>
      </c>
      <c r="I62" s="11">
        <f t="shared" si="4"/>
        <v>4.0729999999999995</v>
      </c>
      <c r="J62" s="10">
        <v>4919</v>
      </c>
      <c r="K62" s="11">
        <f t="shared" si="5"/>
        <v>4.9189999999999996</v>
      </c>
      <c r="L62" s="24"/>
    </row>
    <row r="63" spans="1:12" ht="20.25" customHeight="1" x14ac:dyDescent="0.25">
      <c r="A63" s="8">
        <v>54</v>
      </c>
      <c r="B63" s="9" t="s">
        <v>57</v>
      </c>
      <c r="C63" s="11">
        <f t="shared" si="1"/>
        <v>33.053800000000003</v>
      </c>
      <c r="D63" s="19">
        <f t="shared" si="2"/>
        <v>8.2750193044896052E-3</v>
      </c>
      <c r="E63" s="10">
        <v>20</v>
      </c>
      <c r="F63" s="10">
        <v>40968</v>
      </c>
      <c r="G63" s="11">
        <f t="shared" si="3"/>
        <v>4.0968</v>
      </c>
      <c r="H63" s="11">
        <v>20.420000000000002</v>
      </c>
      <c r="I63" s="11">
        <f t="shared" si="4"/>
        <v>2.0420000000000003</v>
      </c>
      <c r="J63" s="10">
        <v>6915</v>
      </c>
      <c r="K63" s="11">
        <f t="shared" si="5"/>
        <v>6.915</v>
      </c>
      <c r="L63" s="24"/>
    </row>
    <row r="64" spans="1:12" ht="20.25" customHeight="1" x14ac:dyDescent="0.25">
      <c r="A64" s="8">
        <v>55</v>
      </c>
      <c r="B64" s="9" t="s">
        <v>58</v>
      </c>
      <c r="C64" s="11">
        <f t="shared" si="1"/>
        <v>36.8508</v>
      </c>
      <c r="D64" s="19">
        <f t="shared" si="2"/>
        <v>9.2255983089958044E-3</v>
      </c>
      <c r="E64" s="10">
        <v>20</v>
      </c>
      <c r="F64" s="10">
        <v>30168</v>
      </c>
      <c r="G64" s="11">
        <f t="shared" si="3"/>
        <v>3.0167999999999999</v>
      </c>
      <c r="H64" s="11">
        <v>36.450000000000003</v>
      </c>
      <c r="I64" s="11">
        <f t="shared" si="4"/>
        <v>3.6450000000000005</v>
      </c>
      <c r="J64" s="10">
        <v>10189</v>
      </c>
      <c r="K64" s="11">
        <f t="shared" si="5"/>
        <v>10.189</v>
      </c>
      <c r="L64" s="24"/>
    </row>
    <row r="65" spans="1:12" ht="20.25" customHeight="1" x14ac:dyDescent="0.25">
      <c r="A65" s="8">
        <v>56</v>
      </c>
      <c r="B65" s="9" t="s">
        <v>59</v>
      </c>
      <c r="C65" s="11">
        <f t="shared" si="1"/>
        <v>56.402799999999999</v>
      </c>
      <c r="D65" s="19">
        <f t="shared" si="2"/>
        <v>1.4120441789666129E-2</v>
      </c>
      <c r="E65" s="10">
        <v>20</v>
      </c>
      <c r="F65" s="10">
        <v>49248</v>
      </c>
      <c r="G65" s="11">
        <f t="shared" si="3"/>
        <v>4.9248000000000003</v>
      </c>
      <c r="H65" s="11">
        <v>29.23</v>
      </c>
      <c r="I65" s="11">
        <f t="shared" si="4"/>
        <v>2.923</v>
      </c>
      <c r="J65" s="10">
        <v>28555</v>
      </c>
      <c r="K65" s="11">
        <f t="shared" si="5"/>
        <v>28.555</v>
      </c>
      <c r="L65" s="24"/>
    </row>
    <row r="66" spans="1:12" ht="20.25" customHeight="1" x14ac:dyDescent="0.25">
      <c r="A66" s="8">
        <v>57</v>
      </c>
      <c r="B66" s="9" t="s">
        <v>60</v>
      </c>
      <c r="C66" s="11">
        <f t="shared" si="1"/>
        <v>39.867000000000004</v>
      </c>
      <c r="D66" s="19">
        <f t="shared" si="2"/>
        <v>9.980704022293568E-3</v>
      </c>
      <c r="E66" s="10">
        <v>20</v>
      </c>
      <c r="F66" s="10">
        <v>35110</v>
      </c>
      <c r="G66" s="11">
        <f t="shared" si="3"/>
        <v>3.5110000000000001</v>
      </c>
      <c r="H66" s="11">
        <v>51.2</v>
      </c>
      <c r="I66" s="11">
        <f t="shared" si="4"/>
        <v>5.12</v>
      </c>
      <c r="J66" s="10">
        <v>11236</v>
      </c>
      <c r="K66" s="11">
        <f t="shared" si="5"/>
        <v>11.236000000000001</v>
      </c>
      <c r="L66" s="24"/>
    </row>
    <row r="67" spans="1:12" ht="20.25" customHeight="1" x14ac:dyDescent="0.25">
      <c r="A67" s="8">
        <v>58</v>
      </c>
      <c r="B67" s="9" t="s">
        <v>61</v>
      </c>
      <c r="C67" s="11">
        <f t="shared" si="1"/>
        <v>39.398799999999994</v>
      </c>
      <c r="D67" s="19">
        <f t="shared" si="2"/>
        <v>9.8634901455725218E-3</v>
      </c>
      <c r="E67" s="10">
        <v>20</v>
      </c>
      <c r="F67" s="10">
        <v>23308</v>
      </c>
      <c r="G67" s="11">
        <f t="shared" si="3"/>
        <v>2.3308</v>
      </c>
      <c r="H67" s="11">
        <v>62.16</v>
      </c>
      <c r="I67" s="11">
        <f t="shared" si="4"/>
        <v>6.2159999999999993</v>
      </c>
      <c r="J67" s="10">
        <v>10852</v>
      </c>
      <c r="K67" s="11">
        <f t="shared" si="5"/>
        <v>10.852</v>
      </c>
      <c r="L67" s="24"/>
    </row>
    <row r="68" spans="1:12" ht="20.25" customHeight="1" x14ac:dyDescent="0.25">
      <c r="A68" s="8">
        <v>59</v>
      </c>
      <c r="B68" s="9" t="s">
        <v>62</v>
      </c>
      <c r="C68" s="11">
        <f t="shared" si="1"/>
        <v>41.567700000000002</v>
      </c>
      <c r="D68" s="19">
        <f t="shared" si="2"/>
        <v>1.0406474291707234E-2</v>
      </c>
      <c r="E68" s="10">
        <v>20</v>
      </c>
      <c r="F68" s="10">
        <v>24037</v>
      </c>
      <c r="G68" s="11">
        <f t="shared" si="3"/>
        <v>2.4037000000000002</v>
      </c>
      <c r="H68" s="11">
        <v>96.52</v>
      </c>
      <c r="I68" s="11">
        <f t="shared" si="4"/>
        <v>9.6519999999999992</v>
      </c>
      <c r="J68" s="10">
        <v>9512</v>
      </c>
      <c r="K68" s="11">
        <f t="shared" si="5"/>
        <v>9.5120000000000005</v>
      </c>
      <c r="L68" s="24"/>
    </row>
    <row r="69" spans="1:12" ht="20.25" customHeight="1" x14ac:dyDescent="0.25">
      <c r="A69" s="8">
        <v>60</v>
      </c>
      <c r="B69" s="9" t="s">
        <v>63</v>
      </c>
      <c r="C69" s="11">
        <f t="shared" si="1"/>
        <v>28.911200000000001</v>
      </c>
      <c r="D69" s="19">
        <f t="shared" si="2"/>
        <v>7.2379193350222935E-3</v>
      </c>
      <c r="E69" s="10">
        <v>20</v>
      </c>
      <c r="F69" s="10">
        <v>20682</v>
      </c>
      <c r="G69" s="11">
        <f t="shared" si="3"/>
        <v>2.0682</v>
      </c>
      <c r="H69" s="11">
        <v>32.76</v>
      </c>
      <c r="I69" s="11">
        <f t="shared" si="4"/>
        <v>3.2759999999999998</v>
      </c>
      <c r="J69" s="10">
        <v>3567</v>
      </c>
      <c r="K69" s="11">
        <f t="shared" si="5"/>
        <v>3.5670000000000002</v>
      </c>
      <c r="L69" s="24"/>
    </row>
    <row r="70" spans="1:12" ht="20.25" customHeight="1" x14ac:dyDescent="0.25">
      <c r="A70" s="8">
        <v>61</v>
      </c>
      <c r="B70" s="9" t="s">
        <v>64</v>
      </c>
      <c r="C70" s="11">
        <f t="shared" si="1"/>
        <v>32.866</v>
      </c>
      <c r="D70" s="19">
        <f t="shared" si="2"/>
        <v>8.2280035717937228E-3</v>
      </c>
      <c r="E70" s="10">
        <v>20</v>
      </c>
      <c r="F70" s="10">
        <v>26530</v>
      </c>
      <c r="G70" s="11">
        <f t="shared" si="3"/>
        <v>2.653</v>
      </c>
      <c r="H70" s="11">
        <v>63.7</v>
      </c>
      <c r="I70" s="11">
        <f t="shared" si="4"/>
        <v>6.37</v>
      </c>
      <c r="J70" s="25">
        <v>3843</v>
      </c>
      <c r="K70" s="11">
        <f t="shared" si="5"/>
        <v>3.843</v>
      </c>
      <c r="L70" s="24"/>
    </row>
    <row r="71" spans="1:12" ht="20.25" customHeight="1" x14ac:dyDescent="0.25">
      <c r="A71" s="8">
        <v>62</v>
      </c>
      <c r="B71" s="9" t="s">
        <v>65</v>
      </c>
      <c r="C71" s="11">
        <f t="shared" si="1"/>
        <v>38.764200000000002</v>
      </c>
      <c r="D71" s="19">
        <f t="shared" si="2"/>
        <v>9.7046180264627954E-3</v>
      </c>
      <c r="E71" s="10">
        <v>20</v>
      </c>
      <c r="F71" s="10">
        <v>14102</v>
      </c>
      <c r="G71" s="11">
        <f t="shared" si="3"/>
        <v>1.4101999999999999</v>
      </c>
      <c r="H71" s="11">
        <v>149.1</v>
      </c>
      <c r="I71" s="11">
        <f t="shared" si="4"/>
        <v>14.91</v>
      </c>
      <c r="J71" s="10">
        <v>2444</v>
      </c>
      <c r="K71" s="11">
        <f t="shared" si="5"/>
        <v>2.444</v>
      </c>
      <c r="L71" s="24"/>
    </row>
    <row r="72" spans="1:12" ht="20.25" customHeight="1" x14ac:dyDescent="0.25">
      <c r="A72" s="8">
        <v>63</v>
      </c>
      <c r="B72" s="9" t="s">
        <v>66</v>
      </c>
      <c r="C72" s="11">
        <f t="shared" si="1"/>
        <v>34.403199999999998</v>
      </c>
      <c r="D72" s="19">
        <f t="shared" si="2"/>
        <v>8.6128416138603354E-3</v>
      </c>
      <c r="E72" s="10">
        <v>20</v>
      </c>
      <c r="F72" s="10">
        <v>37792</v>
      </c>
      <c r="G72" s="11">
        <f t="shared" si="3"/>
        <v>3.7791999999999999</v>
      </c>
      <c r="H72" s="11">
        <v>57.69</v>
      </c>
      <c r="I72" s="11">
        <f t="shared" si="4"/>
        <v>5.7690000000000001</v>
      </c>
      <c r="J72" s="10">
        <v>4855</v>
      </c>
      <c r="K72" s="11">
        <f t="shared" si="5"/>
        <v>4.8550000000000004</v>
      </c>
      <c r="L72" s="24"/>
    </row>
    <row r="73" spans="1:12" ht="20.25" customHeight="1" x14ac:dyDescent="0.25">
      <c r="A73" s="8">
        <v>64</v>
      </c>
      <c r="B73" s="9" t="s">
        <v>67</v>
      </c>
      <c r="C73" s="11">
        <f t="shared" si="1"/>
        <v>34.563899999999997</v>
      </c>
      <c r="D73" s="19">
        <f t="shared" si="2"/>
        <v>8.6530728611671943E-3</v>
      </c>
      <c r="E73" s="10">
        <v>20</v>
      </c>
      <c r="F73" s="10">
        <v>32869</v>
      </c>
      <c r="G73" s="11">
        <f t="shared" si="3"/>
        <v>3.2869000000000002</v>
      </c>
      <c r="H73" s="11">
        <v>55.02</v>
      </c>
      <c r="I73" s="11">
        <f t="shared" si="4"/>
        <v>5.5020000000000007</v>
      </c>
      <c r="J73" s="10">
        <v>5775</v>
      </c>
      <c r="K73" s="11">
        <f t="shared" si="5"/>
        <v>5.7750000000000004</v>
      </c>
      <c r="L73" s="24"/>
    </row>
    <row r="74" spans="1:12" ht="20.25" customHeight="1" x14ac:dyDescent="0.25">
      <c r="A74" s="8">
        <v>65</v>
      </c>
      <c r="B74" s="9" t="s">
        <v>68</v>
      </c>
      <c r="C74" s="11">
        <f t="shared" si="1"/>
        <v>39.078800000000001</v>
      </c>
      <c r="D74" s="19">
        <f t="shared" si="2"/>
        <v>9.783378140978901E-3</v>
      </c>
      <c r="E74" s="10">
        <v>20</v>
      </c>
      <c r="F74" s="10">
        <v>35638</v>
      </c>
      <c r="G74" s="11">
        <f t="shared" si="3"/>
        <v>3.5638000000000001</v>
      </c>
      <c r="H74" s="11">
        <v>59.75</v>
      </c>
      <c r="I74" s="11">
        <f t="shared" si="4"/>
        <v>5.9749999999999996</v>
      </c>
      <c r="J74" s="10">
        <v>9540</v>
      </c>
      <c r="K74" s="11">
        <f t="shared" si="5"/>
        <v>9.5399999999999991</v>
      </c>
      <c r="L74" s="24"/>
    </row>
    <row r="75" spans="1:12" ht="20.25" customHeight="1" x14ac:dyDescent="0.25">
      <c r="A75" s="8">
        <v>66</v>
      </c>
      <c r="B75" s="9" t="s">
        <v>69</v>
      </c>
      <c r="C75" s="11">
        <f t="shared" ref="C75:C105" si="6">E75+G75+I75+K75</f>
        <v>43.4422</v>
      </c>
      <c r="D75" s="19">
        <f t="shared" ref="D75:D105" si="7">C75/$C$9</f>
        <v>1.0875755393615811E-2</v>
      </c>
      <c r="E75" s="10">
        <v>20</v>
      </c>
      <c r="F75" s="10">
        <v>31722</v>
      </c>
      <c r="G75" s="11">
        <f t="shared" ref="G75:G105" si="8">F75/10000</f>
        <v>3.1722000000000001</v>
      </c>
      <c r="H75" s="11">
        <v>59.41</v>
      </c>
      <c r="I75" s="11">
        <f t="shared" ref="I75:I105" si="9">H75/10</f>
        <v>5.9409999999999998</v>
      </c>
      <c r="J75" s="10">
        <v>14329</v>
      </c>
      <c r="K75" s="11">
        <f t="shared" ref="K75:K105" si="10">J75/1000</f>
        <v>14.329000000000001</v>
      </c>
      <c r="L75" s="24"/>
    </row>
    <row r="76" spans="1:12" ht="20.25" customHeight="1" x14ac:dyDescent="0.25">
      <c r="A76" s="8">
        <v>67</v>
      </c>
      <c r="B76" s="9" t="s">
        <v>70</v>
      </c>
      <c r="C76" s="11">
        <f t="shared" si="6"/>
        <v>60.464299999999994</v>
      </c>
      <c r="D76" s="19">
        <f t="shared" si="7"/>
        <v>1.5137238372969243E-2</v>
      </c>
      <c r="E76" s="10">
        <v>20</v>
      </c>
      <c r="F76" s="10">
        <v>56793</v>
      </c>
      <c r="G76" s="11">
        <f t="shared" si="8"/>
        <v>5.6792999999999996</v>
      </c>
      <c r="H76" s="11">
        <v>63.44</v>
      </c>
      <c r="I76" s="11">
        <f t="shared" si="9"/>
        <v>6.3439999999999994</v>
      </c>
      <c r="J76" s="10">
        <v>28441</v>
      </c>
      <c r="K76" s="11">
        <f t="shared" si="10"/>
        <v>28.440999999999999</v>
      </c>
      <c r="L76" s="24"/>
    </row>
    <row r="77" spans="1:12" ht="20.25" customHeight="1" x14ac:dyDescent="0.25">
      <c r="A77" s="8">
        <v>68</v>
      </c>
      <c r="B77" s="13" t="s">
        <v>71</v>
      </c>
      <c r="C77" s="11">
        <f t="shared" si="6"/>
        <v>47.13</v>
      </c>
      <c r="D77" s="19">
        <f t="shared" si="7"/>
        <v>1.1798996176554439E-2</v>
      </c>
      <c r="E77" s="10">
        <v>20</v>
      </c>
      <c r="F77" s="10">
        <v>42840</v>
      </c>
      <c r="G77" s="11">
        <f t="shared" si="8"/>
        <v>4.2839999999999998</v>
      </c>
      <c r="H77" s="11">
        <v>27.37</v>
      </c>
      <c r="I77" s="11">
        <f t="shared" si="9"/>
        <v>2.7370000000000001</v>
      </c>
      <c r="J77" s="10">
        <v>20109</v>
      </c>
      <c r="K77" s="11">
        <f t="shared" si="10"/>
        <v>20.109000000000002</v>
      </c>
      <c r="L77" s="24"/>
    </row>
    <row r="78" spans="1:12" ht="20.25" customHeight="1" x14ac:dyDescent="0.25">
      <c r="A78" s="8">
        <v>69</v>
      </c>
      <c r="B78" s="13" t="s">
        <v>72</v>
      </c>
      <c r="C78" s="11">
        <f t="shared" si="6"/>
        <v>38.479399999999998</v>
      </c>
      <c r="D78" s="19">
        <f t="shared" si="7"/>
        <v>9.6333183423744709E-3</v>
      </c>
      <c r="E78" s="10">
        <v>20</v>
      </c>
      <c r="F78" s="10">
        <v>40199</v>
      </c>
      <c r="G78" s="11">
        <f t="shared" si="8"/>
        <v>4.0198999999999998</v>
      </c>
      <c r="H78" s="11">
        <v>32.71</v>
      </c>
      <c r="I78" s="11">
        <f t="shared" si="9"/>
        <v>3.2709999999999999</v>
      </c>
      <c r="J78" s="10">
        <v>11188.5</v>
      </c>
      <c r="K78" s="11">
        <f t="shared" si="10"/>
        <v>11.188499999999999</v>
      </c>
      <c r="L78" s="24"/>
    </row>
    <row r="79" spans="1:12" ht="20.25" customHeight="1" x14ac:dyDescent="0.25">
      <c r="A79" s="8">
        <v>70</v>
      </c>
      <c r="B79" s="13" t="s">
        <v>73</v>
      </c>
      <c r="C79" s="11">
        <f t="shared" si="6"/>
        <v>34.4251</v>
      </c>
      <c r="D79" s="19">
        <f t="shared" si="7"/>
        <v>8.618324279174713E-3</v>
      </c>
      <c r="E79" s="10">
        <v>20</v>
      </c>
      <c r="F79" s="10">
        <v>28127</v>
      </c>
      <c r="G79" s="11">
        <f t="shared" si="8"/>
        <v>2.8127</v>
      </c>
      <c r="H79" s="11">
        <v>34.4</v>
      </c>
      <c r="I79" s="11">
        <f t="shared" si="9"/>
        <v>3.44</v>
      </c>
      <c r="J79" s="10">
        <v>8172.4</v>
      </c>
      <c r="K79" s="11">
        <f t="shared" si="10"/>
        <v>8.1723999999999997</v>
      </c>
      <c r="L79" s="24"/>
    </row>
    <row r="80" spans="1:12" ht="20.25" customHeight="1" x14ac:dyDescent="0.25">
      <c r="A80" s="8">
        <v>71</v>
      </c>
      <c r="B80" s="13" t="s">
        <v>74</v>
      </c>
      <c r="C80" s="11">
        <f t="shared" si="6"/>
        <v>37.744700000000002</v>
      </c>
      <c r="D80" s="19">
        <f t="shared" si="7"/>
        <v>9.4493861868278021E-3</v>
      </c>
      <c r="E80" s="10">
        <v>20</v>
      </c>
      <c r="F80" s="10">
        <v>44767</v>
      </c>
      <c r="G80" s="11">
        <f t="shared" si="8"/>
        <v>4.4767000000000001</v>
      </c>
      <c r="H80" s="11">
        <v>60.22</v>
      </c>
      <c r="I80" s="11">
        <f t="shared" si="9"/>
        <v>6.0220000000000002</v>
      </c>
      <c r="J80" s="23">
        <v>7246</v>
      </c>
      <c r="K80" s="11">
        <f t="shared" si="10"/>
        <v>7.2460000000000004</v>
      </c>
      <c r="L80" s="24"/>
    </row>
    <row r="81" spans="1:12" ht="20.25" customHeight="1" x14ac:dyDescent="0.25">
      <c r="A81" s="8">
        <v>72</v>
      </c>
      <c r="B81" s="13" t="s">
        <v>75</v>
      </c>
      <c r="C81" s="11">
        <f t="shared" si="6"/>
        <v>34.049599999999998</v>
      </c>
      <c r="D81" s="19">
        <f t="shared" si="7"/>
        <v>8.5243178487843831E-3</v>
      </c>
      <c r="E81" s="10">
        <v>20</v>
      </c>
      <c r="F81" s="10">
        <v>32686</v>
      </c>
      <c r="G81" s="11">
        <f t="shared" si="8"/>
        <v>3.2686000000000002</v>
      </c>
      <c r="H81" s="11">
        <v>31.73</v>
      </c>
      <c r="I81" s="11">
        <f t="shared" si="9"/>
        <v>3.173</v>
      </c>
      <c r="J81" s="10">
        <v>7608</v>
      </c>
      <c r="K81" s="11">
        <f t="shared" si="10"/>
        <v>7.6079999999999997</v>
      </c>
      <c r="L81" s="24"/>
    </row>
    <row r="82" spans="1:12" ht="20.25" customHeight="1" x14ac:dyDescent="0.25">
      <c r="A82" s="8">
        <v>73</v>
      </c>
      <c r="B82" s="13" t="s">
        <v>76</v>
      </c>
      <c r="C82" s="11">
        <f t="shared" si="6"/>
        <v>39.958500000000001</v>
      </c>
      <c r="D82" s="19">
        <f t="shared" si="7"/>
        <v>1.0003611048607055E-2</v>
      </c>
      <c r="E82" s="10">
        <v>20</v>
      </c>
      <c r="F82" s="10">
        <v>38795</v>
      </c>
      <c r="G82" s="11">
        <f t="shared" si="8"/>
        <v>3.8795000000000002</v>
      </c>
      <c r="H82" s="11">
        <v>24.53</v>
      </c>
      <c r="I82" s="11">
        <f t="shared" si="9"/>
        <v>2.4530000000000003</v>
      </c>
      <c r="J82" s="10">
        <v>13626</v>
      </c>
      <c r="K82" s="11">
        <f t="shared" si="10"/>
        <v>13.625999999999999</v>
      </c>
      <c r="L82" s="24"/>
    </row>
    <row r="83" spans="1:12" ht="20.25" customHeight="1" x14ac:dyDescent="0.25">
      <c r="A83" s="8">
        <v>74</v>
      </c>
      <c r="B83" s="13" t="s">
        <v>77</v>
      </c>
      <c r="C83" s="11">
        <f t="shared" si="6"/>
        <v>34.683900000000001</v>
      </c>
      <c r="D83" s="19">
        <f t="shared" si="7"/>
        <v>8.6831148628898052E-3</v>
      </c>
      <c r="E83" s="10">
        <v>20</v>
      </c>
      <c r="F83" s="10">
        <v>36969</v>
      </c>
      <c r="G83" s="11">
        <f t="shared" si="8"/>
        <v>3.6968999999999999</v>
      </c>
      <c r="H83" s="11">
        <v>39.85</v>
      </c>
      <c r="I83" s="11">
        <f t="shared" si="9"/>
        <v>3.9850000000000003</v>
      </c>
      <c r="J83" s="10">
        <v>7002</v>
      </c>
      <c r="K83" s="11">
        <f t="shared" si="10"/>
        <v>7.0019999999999998</v>
      </c>
      <c r="L83" s="24"/>
    </row>
    <row r="84" spans="1:12" ht="20.25" customHeight="1" x14ac:dyDescent="0.25">
      <c r="A84" s="8">
        <v>75</v>
      </c>
      <c r="B84" s="13" t="s">
        <v>78</v>
      </c>
      <c r="C84" s="11">
        <f t="shared" si="6"/>
        <v>32.318399999999997</v>
      </c>
      <c r="D84" s="19">
        <f t="shared" si="7"/>
        <v>8.0909119039328861E-3</v>
      </c>
      <c r="E84" s="10">
        <v>20</v>
      </c>
      <c r="F84" s="10">
        <v>29984</v>
      </c>
      <c r="G84" s="11">
        <f t="shared" si="8"/>
        <v>2.9984000000000002</v>
      </c>
      <c r="H84" s="11">
        <v>38.93</v>
      </c>
      <c r="I84" s="11">
        <f t="shared" si="9"/>
        <v>3.8929999999999998</v>
      </c>
      <c r="J84" s="23">
        <v>5427</v>
      </c>
      <c r="K84" s="11">
        <f t="shared" si="10"/>
        <v>5.4269999999999996</v>
      </c>
      <c r="L84" s="24"/>
    </row>
    <row r="85" spans="1:12" ht="20.25" customHeight="1" x14ac:dyDescent="0.25">
      <c r="A85" s="8">
        <v>76</v>
      </c>
      <c r="B85" s="13" t="s">
        <v>79</v>
      </c>
      <c r="C85" s="11">
        <f t="shared" si="6"/>
        <v>29.309699999999999</v>
      </c>
      <c r="D85" s="19">
        <f t="shared" si="7"/>
        <v>7.3376838157427878E-3</v>
      </c>
      <c r="E85" s="10">
        <v>20</v>
      </c>
      <c r="F85" s="10">
        <v>29057</v>
      </c>
      <c r="G85" s="11">
        <f t="shared" si="8"/>
        <v>2.9056999999999999</v>
      </c>
      <c r="H85" s="11">
        <v>36.89</v>
      </c>
      <c r="I85" s="11">
        <f t="shared" si="9"/>
        <v>3.6890000000000001</v>
      </c>
      <c r="J85" s="10">
        <v>2715</v>
      </c>
      <c r="K85" s="11">
        <f t="shared" si="10"/>
        <v>2.7149999999999999</v>
      </c>
      <c r="L85" s="24"/>
    </row>
    <row r="86" spans="1:12" ht="20.25" customHeight="1" x14ac:dyDescent="0.25">
      <c r="A86" s="8">
        <v>77</v>
      </c>
      <c r="B86" s="9" t="s">
        <v>80</v>
      </c>
      <c r="C86" s="11">
        <f t="shared" si="6"/>
        <v>33.185599999999994</v>
      </c>
      <c r="D86" s="19">
        <f t="shared" si="7"/>
        <v>8.3080154363816012E-3</v>
      </c>
      <c r="E86" s="10">
        <v>20</v>
      </c>
      <c r="F86" s="10">
        <v>19336</v>
      </c>
      <c r="G86" s="11">
        <f t="shared" si="8"/>
        <v>1.9336</v>
      </c>
      <c r="H86" s="11">
        <v>93.82</v>
      </c>
      <c r="I86" s="11">
        <f t="shared" si="9"/>
        <v>9.3819999999999997</v>
      </c>
      <c r="J86" s="10">
        <v>1870</v>
      </c>
      <c r="K86" s="11">
        <f t="shared" si="10"/>
        <v>1.87</v>
      </c>
      <c r="L86" s="24"/>
    </row>
    <row r="87" spans="1:12" ht="20.25" customHeight="1" x14ac:dyDescent="0.25">
      <c r="A87" s="8">
        <v>78</v>
      </c>
      <c r="B87" s="9" t="s">
        <v>81</v>
      </c>
      <c r="C87" s="11">
        <f t="shared" si="6"/>
        <v>34.453900000000004</v>
      </c>
      <c r="D87" s="19">
        <f t="shared" si="7"/>
        <v>8.6255343595881395E-3</v>
      </c>
      <c r="E87" s="10">
        <v>20</v>
      </c>
      <c r="F87" s="10">
        <v>19949</v>
      </c>
      <c r="G87" s="11">
        <f t="shared" si="8"/>
        <v>1.9948999999999999</v>
      </c>
      <c r="H87" s="11">
        <v>109.77</v>
      </c>
      <c r="I87" s="11">
        <f t="shared" si="9"/>
        <v>10.977</v>
      </c>
      <c r="J87" s="10">
        <v>1482</v>
      </c>
      <c r="K87" s="11">
        <f t="shared" si="10"/>
        <v>1.482</v>
      </c>
      <c r="L87" s="24"/>
    </row>
    <row r="88" spans="1:12" ht="20.25" customHeight="1" x14ac:dyDescent="0.25">
      <c r="A88" s="8">
        <v>79</v>
      </c>
      <c r="B88" s="9" t="s">
        <v>82</v>
      </c>
      <c r="C88" s="11">
        <f t="shared" si="6"/>
        <v>33.425899999999999</v>
      </c>
      <c r="D88" s="19">
        <f t="shared" si="7"/>
        <v>8.3681745448311255E-3</v>
      </c>
      <c r="E88" s="10">
        <v>20</v>
      </c>
      <c r="F88" s="10">
        <v>27099</v>
      </c>
      <c r="G88" s="11">
        <f t="shared" si="8"/>
        <v>2.7099000000000002</v>
      </c>
      <c r="H88" s="11">
        <v>92.67</v>
      </c>
      <c r="I88" s="11">
        <f t="shared" si="9"/>
        <v>9.2669999999999995</v>
      </c>
      <c r="J88" s="10">
        <v>1449</v>
      </c>
      <c r="K88" s="11">
        <f t="shared" si="10"/>
        <v>1.4490000000000001</v>
      </c>
      <c r="L88" s="24"/>
    </row>
    <row r="89" spans="1:12" ht="20.25" customHeight="1" x14ac:dyDescent="0.25">
      <c r="A89" s="8">
        <v>80</v>
      </c>
      <c r="B89" s="9" t="s">
        <v>83</v>
      </c>
      <c r="C89" s="11">
        <f t="shared" si="6"/>
        <v>35.6648</v>
      </c>
      <c r="D89" s="19">
        <f t="shared" si="7"/>
        <v>8.9286831919706926E-3</v>
      </c>
      <c r="E89" s="10">
        <v>20</v>
      </c>
      <c r="F89" s="10">
        <v>19438</v>
      </c>
      <c r="G89" s="11">
        <f t="shared" si="8"/>
        <v>1.9438</v>
      </c>
      <c r="H89" s="11">
        <v>113.45</v>
      </c>
      <c r="I89" s="11">
        <f t="shared" si="9"/>
        <v>11.345000000000001</v>
      </c>
      <c r="J89" s="10">
        <v>2376</v>
      </c>
      <c r="K89" s="11">
        <f t="shared" si="10"/>
        <v>2.3759999999999999</v>
      </c>
      <c r="L89" s="24"/>
    </row>
    <row r="90" spans="1:12" ht="20.25" customHeight="1" x14ac:dyDescent="0.25">
      <c r="A90" s="8">
        <v>81</v>
      </c>
      <c r="B90" s="9" t="s">
        <v>84</v>
      </c>
      <c r="C90" s="11">
        <f t="shared" si="6"/>
        <v>40.2774</v>
      </c>
      <c r="D90" s="19">
        <f t="shared" si="7"/>
        <v>1.0083447668184886E-2</v>
      </c>
      <c r="E90" s="10">
        <v>20</v>
      </c>
      <c r="F90" s="10">
        <v>22064</v>
      </c>
      <c r="G90" s="11">
        <f t="shared" si="8"/>
        <v>2.2063999999999999</v>
      </c>
      <c r="H90" s="11">
        <v>144.63999999999999</v>
      </c>
      <c r="I90" s="11">
        <f t="shared" si="9"/>
        <v>14.463999999999999</v>
      </c>
      <c r="J90" s="10">
        <v>3607</v>
      </c>
      <c r="K90" s="11">
        <f t="shared" si="10"/>
        <v>3.6070000000000002</v>
      </c>
      <c r="L90" s="24"/>
    </row>
    <row r="91" spans="1:12" ht="20.25" customHeight="1" x14ac:dyDescent="0.25">
      <c r="A91" s="8">
        <v>82</v>
      </c>
      <c r="B91" s="9" t="s">
        <v>85</v>
      </c>
      <c r="C91" s="11">
        <f t="shared" si="6"/>
        <v>35.365100000000005</v>
      </c>
      <c r="D91" s="19">
        <f t="shared" si="7"/>
        <v>8.8536532926684793E-3</v>
      </c>
      <c r="E91" s="10">
        <v>20</v>
      </c>
      <c r="F91" s="10">
        <v>15331</v>
      </c>
      <c r="G91" s="11">
        <f t="shared" si="8"/>
        <v>1.5330999999999999</v>
      </c>
      <c r="H91" s="11">
        <v>108.81</v>
      </c>
      <c r="I91" s="11">
        <f t="shared" si="9"/>
        <v>10.881</v>
      </c>
      <c r="J91" s="10">
        <v>2951</v>
      </c>
      <c r="K91" s="11">
        <f t="shared" si="10"/>
        <v>2.9510000000000001</v>
      </c>
      <c r="L91" s="24"/>
    </row>
    <row r="92" spans="1:12" ht="20.25" customHeight="1" x14ac:dyDescent="0.25">
      <c r="A92" s="8">
        <v>83</v>
      </c>
      <c r="B92" s="9" t="s">
        <v>86</v>
      </c>
      <c r="C92" s="11">
        <f t="shared" si="6"/>
        <v>39.800199999999997</v>
      </c>
      <c r="D92" s="19">
        <f t="shared" si="7"/>
        <v>9.9639806413346476E-3</v>
      </c>
      <c r="E92" s="10">
        <v>20</v>
      </c>
      <c r="F92" s="10">
        <v>13022</v>
      </c>
      <c r="G92" s="11">
        <f t="shared" si="8"/>
        <v>1.3022</v>
      </c>
      <c r="H92" s="11">
        <v>144.28</v>
      </c>
      <c r="I92" s="11">
        <f t="shared" si="9"/>
        <v>14.428000000000001</v>
      </c>
      <c r="J92" s="10">
        <v>4070</v>
      </c>
      <c r="K92" s="11">
        <f t="shared" si="10"/>
        <v>4.07</v>
      </c>
      <c r="L92" s="24"/>
    </row>
    <row r="93" spans="1:12" ht="20.25" customHeight="1" x14ac:dyDescent="0.25">
      <c r="A93" s="8">
        <v>84</v>
      </c>
      <c r="B93" s="9" t="s">
        <v>87</v>
      </c>
      <c r="C93" s="11">
        <f t="shared" si="6"/>
        <v>35.768999999999998</v>
      </c>
      <c r="D93" s="19">
        <f t="shared" si="7"/>
        <v>8.9547696634664897E-3</v>
      </c>
      <c r="E93" s="10">
        <v>20</v>
      </c>
      <c r="F93" s="10">
        <v>12610</v>
      </c>
      <c r="G93" s="11">
        <f t="shared" si="8"/>
        <v>1.2609999999999999</v>
      </c>
      <c r="H93" s="11">
        <v>118.68</v>
      </c>
      <c r="I93" s="11">
        <f t="shared" si="9"/>
        <v>11.868</v>
      </c>
      <c r="J93" s="10">
        <v>2640</v>
      </c>
      <c r="K93" s="11">
        <f t="shared" si="10"/>
        <v>2.64</v>
      </c>
      <c r="L93" s="24"/>
    </row>
    <row r="94" spans="1:12" ht="20.25" customHeight="1" x14ac:dyDescent="0.25">
      <c r="A94" s="8">
        <v>85</v>
      </c>
      <c r="B94" s="9" t="s">
        <v>88</v>
      </c>
      <c r="C94" s="11">
        <f t="shared" si="6"/>
        <v>38.0533</v>
      </c>
      <c r="D94" s="19">
        <f t="shared" si="7"/>
        <v>9.5266442012577768E-3</v>
      </c>
      <c r="E94" s="10">
        <v>20</v>
      </c>
      <c r="F94" s="10">
        <v>44113</v>
      </c>
      <c r="G94" s="11">
        <f t="shared" si="8"/>
        <v>4.4112999999999998</v>
      </c>
      <c r="H94" s="11">
        <v>70.89</v>
      </c>
      <c r="I94" s="11">
        <f t="shared" si="9"/>
        <v>7.0890000000000004</v>
      </c>
      <c r="J94" s="10">
        <v>6553</v>
      </c>
      <c r="K94" s="11">
        <f t="shared" si="10"/>
        <v>6.5529999999999999</v>
      </c>
      <c r="L94" s="24"/>
    </row>
    <row r="95" spans="1:12" ht="20.25" customHeight="1" x14ac:dyDescent="0.25">
      <c r="A95" s="8">
        <v>86</v>
      </c>
      <c r="B95" s="9" t="s">
        <v>89</v>
      </c>
      <c r="C95" s="11">
        <f t="shared" si="6"/>
        <v>41.364900000000006</v>
      </c>
      <c r="D95" s="19">
        <f t="shared" si="7"/>
        <v>1.0355703308796026E-2</v>
      </c>
      <c r="E95" s="10">
        <v>20</v>
      </c>
      <c r="F95" s="10">
        <v>44539</v>
      </c>
      <c r="G95" s="11">
        <f t="shared" si="8"/>
        <v>4.4539</v>
      </c>
      <c r="H95" s="11">
        <v>99.06</v>
      </c>
      <c r="I95" s="11">
        <f t="shared" si="9"/>
        <v>9.9060000000000006</v>
      </c>
      <c r="J95" s="10">
        <v>7005</v>
      </c>
      <c r="K95" s="11">
        <f t="shared" si="10"/>
        <v>7.0049999999999999</v>
      </c>
      <c r="L95" s="24"/>
    </row>
    <row r="96" spans="1:12" ht="20.25" customHeight="1" x14ac:dyDescent="0.25">
      <c r="A96" s="8">
        <v>87</v>
      </c>
      <c r="B96" s="9" t="s">
        <v>90</v>
      </c>
      <c r="C96" s="11">
        <f t="shared" si="6"/>
        <v>39.018599999999999</v>
      </c>
      <c r="D96" s="19">
        <f t="shared" si="7"/>
        <v>9.7683070701147252E-3</v>
      </c>
      <c r="E96" s="10">
        <v>20</v>
      </c>
      <c r="F96" s="10">
        <v>26546</v>
      </c>
      <c r="G96" s="11">
        <f t="shared" si="8"/>
        <v>2.6545999999999998</v>
      </c>
      <c r="H96" s="11">
        <v>102.72</v>
      </c>
      <c r="I96" s="11">
        <f t="shared" si="9"/>
        <v>10.272</v>
      </c>
      <c r="J96" s="10">
        <v>6092</v>
      </c>
      <c r="K96" s="11">
        <f t="shared" si="10"/>
        <v>6.0919999999999996</v>
      </c>
      <c r="L96" s="24"/>
    </row>
    <row r="97" spans="1:12" ht="20.25" customHeight="1" x14ac:dyDescent="0.25">
      <c r="A97" s="8">
        <v>88</v>
      </c>
      <c r="B97" s="9" t="s">
        <v>91</v>
      </c>
      <c r="C97" s="11">
        <f t="shared" si="6"/>
        <v>34.800299999999993</v>
      </c>
      <c r="D97" s="19">
        <f t="shared" si="7"/>
        <v>8.7122556045607334E-3</v>
      </c>
      <c r="E97" s="10">
        <v>20</v>
      </c>
      <c r="F97" s="10">
        <v>32503</v>
      </c>
      <c r="G97" s="11">
        <f t="shared" si="8"/>
        <v>3.2503000000000002</v>
      </c>
      <c r="H97" s="11">
        <v>93.75</v>
      </c>
      <c r="I97" s="11">
        <f t="shared" si="9"/>
        <v>9.375</v>
      </c>
      <c r="J97" s="10">
        <v>2175</v>
      </c>
      <c r="K97" s="11">
        <f t="shared" si="10"/>
        <v>2.1749999999999998</v>
      </c>
      <c r="L97" s="24"/>
    </row>
    <row r="98" spans="1:12" ht="20.25" customHeight="1" x14ac:dyDescent="0.25">
      <c r="A98" s="8">
        <v>89</v>
      </c>
      <c r="B98" s="9" t="s">
        <v>92</v>
      </c>
      <c r="C98" s="11">
        <f t="shared" si="6"/>
        <v>34.9983</v>
      </c>
      <c r="D98" s="19">
        <f t="shared" si="7"/>
        <v>8.7618249074030378E-3</v>
      </c>
      <c r="E98" s="10">
        <v>20</v>
      </c>
      <c r="F98" s="10">
        <v>32503</v>
      </c>
      <c r="G98" s="11">
        <f t="shared" si="8"/>
        <v>3.2503000000000002</v>
      </c>
      <c r="H98" s="11">
        <v>88.67</v>
      </c>
      <c r="I98" s="11">
        <f t="shared" si="9"/>
        <v>8.8670000000000009</v>
      </c>
      <c r="J98" s="10">
        <v>2881</v>
      </c>
      <c r="K98" s="11">
        <f t="shared" si="10"/>
        <v>2.8809999999999998</v>
      </c>
      <c r="L98" s="24"/>
    </row>
    <row r="99" spans="1:12" ht="20.25" customHeight="1" x14ac:dyDescent="0.25">
      <c r="A99" s="8">
        <v>90</v>
      </c>
      <c r="B99" s="9" t="s">
        <v>93</v>
      </c>
      <c r="C99" s="11">
        <f t="shared" si="6"/>
        <v>44.281399999999998</v>
      </c>
      <c r="D99" s="19">
        <f t="shared" si="7"/>
        <v>1.1085849125662586E-2</v>
      </c>
      <c r="E99" s="10">
        <v>20</v>
      </c>
      <c r="F99" s="10">
        <v>30764</v>
      </c>
      <c r="G99" s="11">
        <f t="shared" si="8"/>
        <v>3.0764</v>
      </c>
      <c r="H99" s="11">
        <v>174.92</v>
      </c>
      <c r="I99" s="11">
        <f t="shared" si="9"/>
        <v>17.491999999999997</v>
      </c>
      <c r="J99" s="10">
        <v>3713</v>
      </c>
      <c r="K99" s="11">
        <f t="shared" si="10"/>
        <v>3.7130000000000001</v>
      </c>
      <c r="L99" s="24"/>
    </row>
    <row r="100" spans="1:12" ht="20.25" customHeight="1" x14ac:dyDescent="0.25">
      <c r="A100" s="8">
        <v>91</v>
      </c>
      <c r="B100" s="9" t="s">
        <v>94</v>
      </c>
      <c r="C100" s="11">
        <f t="shared" si="6"/>
        <v>50.167300000000004</v>
      </c>
      <c r="D100" s="19">
        <f t="shared" si="7"/>
        <v>1.2559384275155093E-2</v>
      </c>
      <c r="E100" s="10">
        <v>20</v>
      </c>
      <c r="F100" s="10">
        <v>27783</v>
      </c>
      <c r="G100" s="11">
        <f t="shared" si="8"/>
        <v>2.7783000000000002</v>
      </c>
      <c r="H100" s="11">
        <v>254.99</v>
      </c>
      <c r="I100" s="11">
        <f t="shared" si="9"/>
        <v>25.499000000000002</v>
      </c>
      <c r="J100" s="10">
        <v>1890</v>
      </c>
      <c r="K100" s="11">
        <f t="shared" si="10"/>
        <v>1.89</v>
      </c>
      <c r="L100" s="24"/>
    </row>
    <row r="101" spans="1:12" ht="20.25" customHeight="1" x14ac:dyDescent="0.25">
      <c r="A101" s="8">
        <v>92</v>
      </c>
      <c r="B101" s="9" t="s">
        <v>95</v>
      </c>
      <c r="C101" s="11">
        <f t="shared" si="6"/>
        <v>37.705300000000008</v>
      </c>
      <c r="D101" s="19">
        <f t="shared" si="7"/>
        <v>9.4395223962622146E-3</v>
      </c>
      <c r="E101" s="10">
        <v>20</v>
      </c>
      <c r="F101" s="10">
        <v>21783</v>
      </c>
      <c r="G101" s="11">
        <f t="shared" si="8"/>
        <v>2.1783000000000001</v>
      </c>
      <c r="H101" s="11">
        <v>143.24</v>
      </c>
      <c r="I101" s="11">
        <f t="shared" si="9"/>
        <v>14.324000000000002</v>
      </c>
      <c r="J101" s="10">
        <v>1203</v>
      </c>
      <c r="K101" s="11">
        <f t="shared" si="10"/>
        <v>1.2030000000000001</v>
      </c>
      <c r="L101" s="24"/>
    </row>
    <row r="102" spans="1:12" ht="20.25" customHeight="1" x14ac:dyDescent="0.25">
      <c r="A102" s="8">
        <v>93</v>
      </c>
      <c r="B102" s="9" t="s">
        <v>96</v>
      </c>
      <c r="C102" s="11">
        <f t="shared" si="6"/>
        <v>34.9253</v>
      </c>
      <c r="D102" s="19">
        <f t="shared" si="7"/>
        <v>8.7435493563551188E-3</v>
      </c>
      <c r="E102" s="10">
        <v>20</v>
      </c>
      <c r="F102" s="10">
        <v>29953</v>
      </c>
      <c r="G102" s="11">
        <f t="shared" si="8"/>
        <v>2.9952999999999999</v>
      </c>
      <c r="H102" s="11">
        <v>103.08</v>
      </c>
      <c r="I102" s="11">
        <f t="shared" si="9"/>
        <v>10.308</v>
      </c>
      <c r="J102" s="10">
        <v>1622</v>
      </c>
      <c r="K102" s="11">
        <f t="shared" si="10"/>
        <v>1.6220000000000001</v>
      </c>
      <c r="L102" s="24"/>
    </row>
    <row r="103" spans="1:12" ht="20.25" customHeight="1" x14ac:dyDescent="0.25">
      <c r="A103" s="8">
        <v>94</v>
      </c>
      <c r="B103" s="9" t="s">
        <v>97</v>
      </c>
      <c r="C103" s="11">
        <f t="shared" si="6"/>
        <v>32.773099999999999</v>
      </c>
      <c r="D103" s="19">
        <f t="shared" si="7"/>
        <v>8.2047460554601371E-3</v>
      </c>
      <c r="E103" s="10">
        <v>20</v>
      </c>
      <c r="F103" s="10">
        <v>25431</v>
      </c>
      <c r="G103" s="11">
        <f t="shared" si="8"/>
        <v>2.5430999999999999</v>
      </c>
      <c r="H103" s="11">
        <v>90.51</v>
      </c>
      <c r="I103" s="11">
        <f t="shared" si="9"/>
        <v>9.0510000000000002</v>
      </c>
      <c r="J103" s="10">
        <v>1179</v>
      </c>
      <c r="K103" s="11">
        <f t="shared" si="10"/>
        <v>1.179</v>
      </c>
      <c r="L103" s="24"/>
    </row>
    <row r="104" spans="1:12" ht="20.25" customHeight="1" x14ac:dyDescent="0.25">
      <c r="A104" s="8">
        <v>95</v>
      </c>
      <c r="B104" s="9" t="s">
        <v>98</v>
      </c>
      <c r="C104" s="11">
        <f t="shared" si="6"/>
        <v>33.546600000000005</v>
      </c>
      <c r="D104" s="19">
        <f t="shared" si="7"/>
        <v>8.3983917915637848E-3</v>
      </c>
      <c r="E104" s="10">
        <v>20</v>
      </c>
      <c r="F104" s="10">
        <v>29346</v>
      </c>
      <c r="G104" s="11">
        <f t="shared" si="8"/>
        <v>2.9346000000000001</v>
      </c>
      <c r="H104" s="11">
        <v>90.25</v>
      </c>
      <c r="I104" s="11">
        <f t="shared" si="9"/>
        <v>9.0250000000000004</v>
      </c>
      <c r="J104" s="10">
        <v>1587</v>
      </c>
      <c r="K104" s="11">
        <f t="shared" si="10"/>
        <v>1.587</v>
      </c>
      <c r="L104" s="24"/>
    </row>
    <row r="105" spans="1:12" ht="20.25" customHeight="1" x14ac:dyDescent="0.25">
      <c r="A105" s="8">
        <v>96</v>
      </c>
      <c r="B105" s="9" t="s">
        <v>99</v>
      </c>
      <c r="C105" s="11">
        <f t="shared" si="6"/>
        <v>36.067400000000006</v>
      </c>
      <c r="D105" s="19">
        <f t="shared" si="7"/>
        <v>9.0294741077500441E-3</v>
      </c>
      <c r="E105" s="10">
        <v>20</v>
      </c>
      <c r="F105" s="10">
        <v>40174</v>
      </c>
      <c r="G105" s="11">
        <f t="shared" si="8"/>
        <v>4.0174000000000003</v>
      </c>
      <c r="H105" s="11">
        <v>74.430000000000007</v>
      </c>
      <c r="I105" s="11">
        <f t="shared" si="9"/>
        <v>7.4430000000000005</v>
      </c>
      <c r="J105" s="10">
        <v>4607</v>
      </c>
      <c r="K105" s="11">
        <f t="shared" si="10"/>
        <v>4.6070000000000002</v>
      </c>
      <c r="L105" s="24"/>
    </row>
    <row r="106" spans="1:12" x14ac:dyDescent="0.25">
      <c r="C106" s="14"/>
      <c r="D106" s="14"/>
    </row>
  </sheetData>
  <mergeCells count="13">
    <mergeCell ref="A1:L1"/>
    <mergeCell ref="A9:B9"/>
    <mergeCell ref="A5:A7"/>
    <mergeCell ref="B5:B7"/>
    <mergeCell ref="C5:C7"/>
    <mergeCell ref="E5:E7"/>
    <mergeCell ref="F5:G6"/>
    <mergeCell ref="H5:I6"/>
    <mergeCell ref="J5:K6"/>
    <mergeCell ref="A2:L2"/>
    <mergeCell ref="D5:D7"/>
    <mergeCell ref="L5:L7"/>
    <mergeCell ref="A3:L3"/>
  </mergeCells>
  <pageMargins left="0.55000000000000004" right="0.3" top="0.36" bottom="0.53" header="0.3" footer="0.3"/>
  <pageSetup paperSize="9" scale="87" orientation="landscape" r:id="rId1"/>
  <headerFooter differentOddEven="1"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B214EB-A497-40C5-B03C-8B2BC2F50585}"/>
</file>

<file path=customXml/itemProps2.xml><?xml version="1.0" encoding="utf-8"?>
<ds:datastoreItem xmlns:ds="http://schemas.openxmlformats.org/officeDocument/2006/customXml" ds:itemID="{ABEF9F14-E7F3-46B3-8FA9-DCBA8480FA4A}"/>
</file>

<file path=customXml/itemProps3.xml><?xml version="1.0" encoding="utf-8"?>
<ds:datastoreItem xmlns:ds="http://schemas.openxmlformats.org/officeDocument/2006/customXml" ds:itemID="{CA5D7B21-D3D1-42CF-953B-B88F80D102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</dc:creator>
  <cp:lastModifiedBy>HP</cp:lastModifiedBy>
  <cp:revision>1</cp:revision>
  <cp:lastPrinted>2025-12-06T03:17:25Z</cp:lastPrinted>
  <dcterms:created xsi:type="dcterms:W3CDTF">2025-09-14T01:25:53Z</dcterms:created>
  <dcterms:modified xsi:type="dcterms:W3CDTF">2025-12-11T07:18:19Z</dcterms:modified>
</cp:coreProperties>
</file>